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ari\OneDrive\Desktop\PM Docs final\"/>
    </mc:Choice>
  </mc:AlternateContent>
  <xr:revisionPtr revIDLastSave="0" documentId="13_ncr:1_{262D2D23-2B32-4BE7-97ED-636202059B37}" xr6:coauthVersionLast="47" xr6:coauthVersionMax="47" xr10:uidLastSave="{00000000-0000-0000-0000-000000000000}"/>
  <bookViews>
    <workbookView xWindow="-108" yWindow="-108" windowWidth="23256" windowHeight="12456" activeTab="4" xr2:uid="{9376E7FA-0652-41BB-AADB-63054ACA03DA}"/>
  </bookViews>
  <sheets>
    <sheet name="Overveiw" sheetId="1" r:id="rId1"/>
    <sheet name="MIlestones" sheetId="4" r:id="rId2"/>
    <sheet name="Com.Plan" sheetId="2" r:id="rId3"/>
    <sheet name="Budget" sheetId="3" r:id="rId4"/>
    <sheet name="RACI" sheetId="6" r:id="rId5"/>
    <sheet name="Risk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I19" i="3"/>
  <c r="J16" i="3"/>
  <c r="J17" i="3"/>
  <c r="J18" i="3"/>
  <c r="J15" i="3"/>
  <c r="J10" i="3"/>
  <c r="J11" i="3"/>
  <c r="J12" i="3"/>
  <c r="J13" i="3"/>
  <c r="J9" i="3"/>
  <c r="I14" i="3"/>
  <c r="I22" i="3"/>
  <c r="H14" i="3"/>
  <c r="H19" i="3" s="1"/>
  <c r="H22" i="3" s="1"/>
  <c r="C34" i="3"/>
</calcChain>
</file>

<file path=xl/sharedStrings.xml><?xml version="1.0" encoding="utf-8"?>
<sst xmlns="http://schemas.openxmlformats.org/spreadsheetml/2006/main" count="441" uniqueCount="305">
  <si>
    <t>Project  Documents</t>
  </si>
  <si>
    <r>
      <rPr>
        <b/>
        <sz val="16"/>
        <color theme="1"/>
        <rFont val="Aptos Narrow"/>
        <family val="2"/>
        <scheme val="minor"/>
      </rPr>
      <t>Description</t>
    </r>
    <r>
      <rPr>
        <sz val="16"/>
        <color theme="1"/>
        <rFont val="Aptos Narrow"/>
        <family val="2"/>
        <scheme val="minor"/>
      </rPr>
      <t>: This excel file contains all our docementations regarding to the Partial Facial Project</t>
    </r>
  </si>
  <si>
    <r>
      <rPr>
        <b/>
        <sz val="16"/>
        <color theme="1"/>
        <rFont val="Aptos Narrow"/>
        <family val="2"/>
        <scheme val="minor"/>
      </rPr>
      <t>Owner</t>
    </r>
    <r>
      <rPr>
        <sz val="16"/>
        <color theme="1"/>
        <rFont val="Aptos Narrow"/>
        <family val="2"/>
        <scheme val="minor"/>
      </rPr>
      <t xml:space="preserve">           : Project manager</t>
    </r>
  </si>
  <si>
    <t>Key Docs</t>
  </si>
  <si>
    <t>Description</t>
  </si>
  <si>
    <t>Project Chater</t>
  </si>
  <si>
    <t xml:space="preserve">Overveiw of the Project </t>
  </si>
  <si>
    <t>Milestones</t>
  </si>
  <si>
    <t xml:space="preserve"> milestones are key checkpoints or significant events that mark progress toward the completion of a project.</t>
  </si>
  <si>
    <t>Risk Management Plan</t>
  </si>
  <si>
    <t>Outline the potential risks associated with the project, assess the likelihood of each occurring, and describe the strategies you will implement to mitigate them if they materialize.</t>
  </si>
  <si>
    <t>Gantt Chart</t>
  </si>
  <si>
    <t>Visual representation of project timeline that displays individual tasks, their durations, start and end dates.</t>
  </si>
  <si>
    <t>Budget</t>
  </si>
  <si>
    <t>Identify the Project Costs and Budget and maintain it.</t>
  </si>
  <si>
    <t>Communication Plan</t>
  </si>
  <si>
    <t>Who needs to receive information, what information they need, when they need it, how it will be delivered, and why it matters — all to ensure smooth coordination and stakeholder alignment throughout the project.</t>
  </si>
  <si>
    <t>RACI Chart</t>
  </si>
  <si>
    <t>Identifies who is responsible, accountable, consulted and informed within the project.</t>
  </si>
  <si>
    <t>Communication Plan - PFR</t>
  </si>
  <si>
    <t>Frequency</t>
  </si>
  <si>
    <t>Owner</t>
  </si>
  <si>
    <t>Key Dates</t>
  </si>
  <si>
    <t>Delivery Method</t>
  </si>
  <si>
    <t>Goal</t>
  </si>
  <si>
    <t>Notes</t>
  </si>
  <si>
    <t>Project Manager</t>
  </si>
  <si>
    <t>Weekly</t>
  </si>
  <si>
    <t>Budget Report</t>
  </si>
  <si>
    <t>Target Budget</t>
  </si>
  <si>
    <t>Actual Spend</t>
  </si>
  <si>
    <t>Over / Under</t>
  </si>
  <si>
    <t>Milestones &amp; Tasks</t>
  </si>
  <si>
    <t>Employees</t>
  </si>
  <si>
    <t>Rate @</t>
  </si>
  <si>
    <t>Chgs Per Months</t>
  </si>
  <si>
    <t>Actual</t>
  </si>
  <si>
    <t>Under / Over</t>
  </si>
  <si>
    <t>Human Resources</t>
  </si>
  <si>
    <t>-</t>
  </si>
  <si>
    <t>Total</t>
  </si>
  <si>
    <t>02 Members</t>
  </si>
  <si>
    <t>Documentation</t>
  </si>
  <si>
    <t>TOTAL</t>
  </si>
  <si>
    <t>RACI Matrix - PFR</t>
  </si>
  <si>
    <t>Project Team Leader</t>
  </si>
  <si>
    <t>Peer Reviewers</t>
  </si>
  <si>
    <t>I</t>
  </si>
  <si>
    <t>A</t>
  </si>
  <si>
    <t>R</t>
  </si>
  <si>
    <t>C</t>
  </si>
  <si>
    <t>Responsible</t>
  </si>
  <si>
    <t xml:space="preserve">The person or people who do the work to complete the task. </t>
  </si>
  <si>
    <t>Accountable</t>
  </si>
  <si>
    <t>The person who must approve the final deliverable and is ultimately answerable for its correct and complete execution.</t>
  </si>
  <si>
    <t xml:space="preserve"> Consulted</t>
  </si>
  <si>
    <t>People who provide input and advice before the work is finalized.</t>
  </si>
  <si>
    <t>Informed</t>
  </si>
  <si>
    <t>People who are kept updated on progress and outcomes after the decision or action is complete.</t>
  </si>
  <si>
    <t>Risk Event</t>
  </si>
  <si>
    <t>Cause / Trigger</t>
  </si>
  <si>
    <t>L</t>
  </si>
  <si>
    <t>Score</t>
  </si>
  <si>
    <t>Response Strategy</t>
  </si>
  <si>
    <t>Contingency Plan</t>
  </si>
  <si>
    <t>Low Model Accuracy</t>
  </si>
  <si>
    <t>Move to cloud GPU (Colab Pro/Kaggle) if accuracy &lt;80% by Week 14</t>
  </si>
  <si>
    <t>AI Engineer</t>
  </si>
  <si>
    <t>High</t>
  </si>
  <si>
    <t>Time Overruns</t>
  </si>
  <si>
    <t>Algorithm complexity or delayed feedback</t>
  </si>
  <si>
    <t>Use 2-week Agile sprints and progress reviews</t>
  </si>
  <si>
    <t>Focus on core model; simplify GUI if behind schedule</t>
  </si>
  <si>
    <t>Medium</t>
  </si>
  <si>
    <t>Scope Creep</t>
  </si>
  <si>
    <t>Requests for features outside project scope</t>
  </si>
  <si>
    <t>Use strict change control and client approval</t>
  </si>
  <si>
    <t>Unapproved features moved to “Future Work” section</t>
  </si>
  <si>
    <t>Team Lead</t>
  </si>
  <si>
    <t>Low</t>
  </si>
  <si>
    <t>Hardware Limitations</t>
  </si>
  <si>
    <t>Personal laptops lack GPU or memory for training</t>
  </si>
  <si>
    <t>Test small dataset early; optimize model</t>
  </si>
  <si>
    <t>Use Colab Pro or university cluster</t>
  </si>
  <si>
    <t>Technical Lead</t>
  </si>
  <si>
    <t>Dataset Bias or Ethical Issues</t>
  </si>
  <si>
    <t>Dataset lacks diversity, causing unfair model results</t>
  </si>
  <si>
    <t>Check dataset for gender/skin tone bias during prep</t>
  </si>
  <si>
    <t>Apply data balancing or augmentation if needed</t>
  </si>
  <si>
    <t>Ethics Officer</t>
  </si>
  <si>
    <t>Integration / GUI Failure</t>
  </si>
  <si>
    <t>Streamlit app fails to connect with ML model</t>
  </si>
  <si>
    <t>Integrate early and test after training</t>
  </si>
  <si>
    <t>Use Jupyter Notebook interface for demo</t>
  </si>
  <si>
    <t>Developer</t>
  </si>
  <si>
    <t>Team Coordination Issues</t>
  </si>
  <si>
    <t>Poor communication or uneven task distribution</t>
  </si>
  <si>
    <t>Hold weekly meetings and update GitHub</t>
  </si>
  <si>
    <t>Escalate to supervisor if serious delays occur</t>
  </si>
  <si>
    <t>Scrum Master</t>
  </si>
  <si>
    <t>Data Loss or Version Errors</t>
  </si>
  <si>
    <t>Code or data accidentally deleted</t>
  </si>
  <si>
    <t>Use GitHub version control and regular backups</t>
  </si>
  <si>
    <t>Keep local + cloud copies of datasets and code</t>
  </si>
  <si>
    <t>All Members</t>
  </si>
  <si>
    <t>Ethical / Privacy Breach</t>
  </si>
  <si>
    <t>Improper handling of facial data</t>
  </si>
  <si>
    <t>Follow AI ethics toolkit and anonymize data</t>
  </si>
  <si>
    <t>Replace dataset if any privacy issue found</t>
  </si>
  <si>
    <t>Quality Assurer</t>
  </si>
  <si>
    <t>Poor time management or missed reporting</t>
  </si>
  <si>
    <t>Add a catch-up session for missing logs</t>
  </si>
  <si>
    <t>Duration (M)</t>
  </si>
  <si>
    <t>Cloud Computing</t>
  </si>
  <si>
    <t>Software Licensing</t>
  </si>
  <si>
    <t>Project Phase / Sprints</t>
  </si>
  <si>
    <t>Timeline</t>
  </si>
  <si>
    <t>Allocated Budget</t>
  </si>
  <si>
    <t>Key Activities</t>
  </si>
  <si>
    <t>Sprints 0–1: Initiation</t>
  </si>
  <si>
    <t>Weeks 1–5</t>
  </si>
  <si>
    <t>Project Charter approval, initial documentation, stakeholder alignment.</t>
  </si>
  <si>
    <t>Sprints 2–5: Planning &amp; Dataset Preparation</t>
  </si>
  <si>
    <t>Weeks 6–8</t>
  </si>
  <si>
    <t>Dataset acquisition and preprocessing (CASIA-WebFace, LFW).</t>
  </si>
  <si>
    <t>Sprints 6–7: Model Development</t>
  </si>
  <si>
    <t>Weeks 9–14</t>
  </si>
  <si>
    <t>Core development phase with peak cloud usage and model training (MobileFaceNet).</t>
  </si>
  <si>
    <t>Sprints 8–9: Testing &amp; Evaluation</t>
  </si>
  <si>
    <t>Weeks 15–16</t>
  </si>
  <si>
    <t>Performance validation, GUI testing via Streamlit.</t>
  </si>
  <si>
    <t>Sprint 10: Closure &amp; Presentation</t>
  </si>
  <si>
    <t>Weeks 17–18</t>
  </si>
  <si>
    <t>Final reporting, audit, and project presentation.</t>
  </si>
  <si>
    <t>Sprint and  Milestone wise</t>
  </si>
  <si>
    <t>Administrative/ Utilities</t>
  </si>
  <si>
    <t>AI Achitecture / Model developer</t>
  </si>
  <si>
    <t>UI Designer</t>
  </si>
  <si>
    <t>Quality Assurer / Document Lead</t>
  </si>
  <si>
    <t>Sub Total - Human Resources</t>
  </si>
  <si>
    <t>Finance Manager</t>
  </si>
  <si>
    <t>Hours per week</t>
  </si>
  <si>
    <t>15hr</t>
  </si>
  <si>
    <t>Contingency Reserve</t>
  </si>
  <si>
    <t>Management Reserve</t>
  </si>
  <si>
    <t xml:space="preserve">Sub Total </t>
  </si>
  <si>
    <t>Recipients</t>
  </si>
  <si>
    <t>Type of Communication</t>
  </si>
  <si>
    <t>Sender/Owner</t>
  </si>
  <si>
    <t>Resource Links</t>
  </si>
  <si>
    <t>Core Team</t>
  </si>
  <si>
    <t>Daily Stand-up</t>
  </si>
  <si>
    <t>Daily (Morning)</t>
  </si>
  <si>
    <t>Throughout Development</t>
  </si>
  <si>
    <t>Slack / Discord</t>
  </si>
  <si>
    <t>Quick 5-minute sync: What did you do yesterday? What are you doing today? Any blockers?</t>
  </si>
  <si>
    <t>PM to log any "Blockers" immediately.</t>
  </si>
  <si>
    <t>Project Supervisor</t>
  </si>
  <si>
    <t>Technical Milestone Demo</t>
  </si>
  <si>
    <t>Monthly</t>
  </si>
  <si>
    <t>Project Manager &amp; AI Architect</t>
  </si>
  <si>
    <t>End of Month 1 &amp; 2</t>
  </si>
  <si>
    <t>In-person / Zoom</t>
  </si>
  <si>
    <t>Show live progress of the MobileFaceNet training on the 7 partial categories.</t>
  </si>
  <si>
    <t>Focus on showing "Before vs. After" augmentation images.</t>
  </si>
  <si>
    <t>UI Designer &amp; AI Architect</t>
  </si>
  <si>
    <t>Integration Sync (The "Handshake")</t>
  </si>
  <si>
    <t>Bi-weekly</t>
  </si>
  <si>
    <t>AI Architect</t>
  </si>
  <si>
    <t>Starting Week 6</t>
  </si>
  <si>
    <t>Technical Demo</t>
  </si>
  <si>
    <t>Confirm the model's input/output shapes (112x112) match the Streamlit upload logic.</t>
  </si>
  <si>
    <t>[GitHub Issue Tracker]</t>
  </si>
  <si>
    <t>Critical to ensure the UI can handle the model's latency.</t>
  </si>
  <si>
    <t>Document Specialist &amp; AI Architect</t>
  </si>
  <si>
    <t>Data Visualization Briefing</t>
  </si>
  <si>
    <t>After each training run</t>
  </si>
  <si>
    <t>Shared Spreadsheet</t>
  </si>
  <si>
    <t>Transfer loss curves, accuracy tables, and "Partial Category" success rates.</t>
  </si>
  <si>
    <t>[Link to Results Folder]</t>
  </si>
  <si>
    <t>AI Architect must provide "Clear" vs "Noisy" data comparisons for the report.</t>
  </si>
  <si>
    <t>Document Specialist &amp; UI Designer</t>
  </si>
  <si>
    <t>UX/UI Asset Transfer</t>
  </si>
  <si>
    <t>One-time</t>
  </si>
  <si>
    <t>10 days before deadline</t>
  </si>
  <si>
    <t>Google Drive</t>
  </si>
  <si>
    <t>Provide high-res screenshots of the Streamlit app and the "User Flow" for the manual.</t>
  </si>
  <si>
    <t>[Link to Asset Folder]</t>
  </si>
  <si>
    <t>Documentation Specialist needs these for the "System Design" section.</t>
  </si>
  <si>
    <t>Target Users (Beta Testers)</t>
  </si>
  <si>
    <t>Usability Testing</t>
  </si>
  <si>
    <t>2 weeks before deadline</t>
  </si>
  <si>
    <t>Streamlit URL</t>
  </si>
  <si>
    <t>Gather feedback on how easy it is to upload "Partial" photos and read results.</t>
  </si>
  <si>
    <t>[Link to Feedback Form]</t>
  </si>
  <si>
    <t>UI Designer to use results to "polish" the interface.</t>
  </si>
  <si>
    <t>Quality Assurance (Internal)</t>
  </si>
  <si>
    <t>Code Review &amp; Refactoring</t>
  </si>
  <si>
    <t>Every Friday</t>
  </si>
  <si>
    <t>GitHub Pull Request</t>
  </si>
  <si>
    <t>Ensure the code is clean, commented, and follows PEP8 for the final submission.</t>
  </si>
  <si>
    <t>[Link to Repo]</t>
  </si>
  <si>
    <t>Document Specialist to check comments for technical accuracy.</t>
  </si>
  <si>
    <t>External (University LMS)</t>
  </si>
  <si>
    <t>Final Submission</t>
  </si>
  <si>
    <t>University Deadline</t>
  </si>
  <si>
    <t>Portal Upload</t>
  </si>
  <si>
    <t>Submit the final report (.pdf), code (.zip), and Demo Video.</t>
  </si>
  <si>
    <t>[Link to University Portal]</t>
  </si>
  <si>
    <t>PM to verify all parts (AI, UI, Doc) are bundled correctly.</t>
  </si>
  <si>
    <t>Emergency Contact</t>
  </si>
  <si>
    <t>"The Red Button" Sync</t>
  </si>
  <si>
    <t>As needed</t>
  </si>
  <si>
    <t>Anyone</t>
  </si>
  <si>
    <t>Immediate</t>
  </si>
  <si>
    <t>Instant Message / Phone</t>
  </si>
  <si>
    <t>Address critical failures (e.g., Google Colab GPU limit hit, Dataset loss).</t>
  </si>
  <si>
    <t>N/A</t>
  </si>
  <si>
    <t>Have a backup "CPU-only" training plan if GPU credits run out.</t>
  </si>
  <si>
    <t>Insufficient preprocessing or poor tuning; successfully addressed via selection of CASIA dataset (Kaggle).</t>
  </si>
  <si>
    <t xml:space="preserve">	
Start testing early; use transfer learning (ResNet/VGG) with CASIA</t>
  </si>
  <si>
    <t>Incomplete Docs</t>
  </si>
  <si>
    <t xml:space="preserve">	
Assign documentation duties per sprint.</t>
  </si>
  <si>
    <t>Streamlit Deployment Failure</t>
  </si>
  <si>
    <t>Server-side compatibility issues or resource constraints during final hosting.</t>
  </si>
  <si>
    <t>Perform incremental local testing of Streamlit interface before cloud push.</t>
  </si>
  <si>
    <t>Deploy via local host or alternative cloud instance.Developer</t>
  </si>
  <si>
    <t>Database Linking Errors</t>
  </si>
  <si>
    <t>Incorrect connection strings or API authentication failures between model and backend.</t>
  </si>
  <si>
    <t>Use environment variables for secure linking; validate schema compatibility.</t>
  </si>
  <si>
    <t>Revert to local static dataset for demo purposes.</t>
  </si>
  <si>
    <t>Project Manager - Perera</t>
  </si>
  <si>
    <t>Tasks</t>
  </si>
  <si>
    <t>No Hr</t>
  </si>
  <si>
    <t>Project Intiation</t>
  </si>
  <si>
    <t xml:space="preserve">Team Contract </t>
  </si>
  <si>
    <t>Weekly Teams meeting</t>
  </si>
  <si>
    <t>Agile PM control</t>
  </si>
  <si>
    <t xml:space="preserve">Follow the scope </t>
  </si>
  <si>
    <t>Research dataset</t>
  </si>
  <si>
    <t>Data set analyse</t>
  </si>
  <si>
    <t>Dataset preparation</t>
  </si>
  <si>
    <t>Data augmentation</t>
  </si>
  <si>
    <t>6 hrs</t>
  </si>
  <si>
    <t>1 hrs</t>
  </si>
  <si>
    <t>32 hrs</t>
  </si>
  <si>
    <t>every time</t>
  </si>
  <si>
    <t>Re arrange dataset</t>
  </si>
  <si>
    <t>Risk management</t>
  </si>
  <si>
    <t>Stake holder update</t>
  </si>
  <si>
    <t>4 hrs</t>
  </si>
  <si>
    <t>30 hrs</t>
  </si>
  <si>
    <t>20 hrs</t>
  </si>
  <si>
    <t>25 hrs</t>
  </si>
  <si>
    <t>7 hrs</t>
  </si>
  <si>
    <t>Model Design</t>
  </si>
  <si>
    <t>Training &amp; Optimization</t>
  </si>
  <si>
    <t>Back propagation &amp; Perameter Tuining</t>
  </si>
  <si>
    <t>AI Architecture - Kasun</t>
  </si>
  <si>
    <t>Validation</t>
  </si>
  <si>
    <t>Testing</t>
  </si>
  <si>
    <t>50 hrs</t>
  </si>
  <si>
    <t>70 hrs</t>
  </si>
  <si>
    <t>UI Designer - Omidu</t>
  </si>
  <si>
    <t>Streamlit development</t>
  </si>
  <si>
    <t>Testing GUI</t>
  </si>
  <si>
    <t>Concern Ethics</t>
  </si>
  <si>
    <t>Database Linking</t>
  </si>
  <si>
    <t>T/ Verification &amp; Identification</t>
  </si>
  <si>
    <t>60 hrs</t>
  </si>
  <si>
    <t>Document Lead - Oishee</t>
  </si>
  <si>
    <t>Documenting the Teams Meetings</t>
  </si>
  <si>
    <t>Quality assuarace</t>
  </si>
  <si>
    <t>Technical Writing</t>
  </si>
  <si>
    <t>Performance Report</t>
  </si>
  <si>
    <t>Agile Documents pre &amp; get approved</t>
  </si>
  <si>
    <t>Ethics</t>
  </si>
  <si>
    <t>10 hrs</t>
  </si>
  <si>
    <t>For 5 Months</t>
  </si>
  <si>
    <t>Task / Deliverable</t>
  </si>
  <si>
    <t>Client / Sponsor</t>
  </si>
  <si>
    <t>Project Team Members</t>
  </si>
  <si>
    <t>1. Initiation &amp; Governance</t>
  </si>
  <si>
    <t>Project Charter &amp; OKR Definition</t>
  </si>
  <si>
    <t>Risk Mitigation &amp; Sprint Planning</t>
  </si>
  <si>
    <t>2. Data Engineering</t>
  </si>
  <si>
    <t>Dataset Curation (Casia, FEI, LFW)</t>
  </si>
  <si>
    <t>Synthetic Occlusion Pipeline (Masks/Scarves)</t>
  </si>
  <si>
    <t>Image Normalization (112x112 workflow)</t>
  </si>
  <si>
    <t>3. Model Development &amp; Training</t>
  </si>
  <si>
    <t>MobileFaceNet Architecture Design</t>
  </si>
  <si>
    <t>ArcFace Loss &amp; Learning Rate Scheduling</t>
  </si>
  <si>
    <t>Performance Evaluation (ROC, t-SNE)</t>
  </si>
  <si>
    <t>4. System Integration &amp; Deployment</t>
  </si>
  <si>
    <t>Streamlit GUI Development</t>
  </si>
  <si>
    <t>Live Demo (5 Partial Face Scenarios)</t>
  </si>
  <si>
    <t>User Acceptance Testing (UAT)</t>
  </si>
  <si>
    <t>5. Closure &amp; Documentation</t>
  </si>
  <si>
    <t>Technical Report &amp; User Manual</t>
  </si>
  <si>
    <t>Final Audit &amp; Documentation Sign-off</t>
  </si>
  <si>
    <t>Final Results Presentation</t>
  </si>
  <si>
    <t>Budget Management (£30k Baseline)</t>
  </si>
  <si>
    <t>10hr</t>
  </si>
  <si>
    <t>Jira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</si>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</sst>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.00"/>
    <numFmt numFmtId="165" formatCode="\£\(0.00\)"/>
  </numFmts>
  <fonts count="21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Display"/>
      <family val="2"/>
      <scheme val="major"/>
    </font>
    <font>
      <b/>
      <sz val="12"/>
      <color rgb="FF434343"/>
      <name val="Aptos Display"/>
      <family val="2"/>
      <scheme val="major"/>
    </font>
    <font>
      <sz val="12"/>
      <color rgb="FF434343"/>
      <name val="Aptos Display"/>
      <family val="2"/>
      <scheme val="major"/>
    </font>
    <font>
      <b/>
      <sz val="14"/>
      <color rgb="FFFFFFFF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284E3F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4" borderId="1" xfId="0" applyFont="1" applyFill="1" applyBorder="1"/>
    <xf numFmtId="0" fontId="1" fillId="0" borderId="1" xfId="0" applyFont="1" applyBorder="1"/>
    <xf numFmtId="0" fontId="3" fillId="0" borderId="0" xfId="0" applyFont="1"/>
    <xf numFmtId="0" fontId="4" fillId="7" borderId="0" xfId="0" applyFont="1" applyFill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0" fillId="8" borderId="0" xfId="0" applyNumberFormat="1" applyFill="1"/>
    <xf numFmtId="164" fontId="5" fillId="8" borderId="0" xfId="0" applyNumberFormat="1" applyFont="1" applyFill="1"/>
    <xf numFmtId="0" fontId="5" fillId="4" borderId="0" xfId="0" applyFont="1" applyFill="1"/>
    <xf numFmtId="0" fontId="5" fillId="9" borderId="0" xfId="0" applyFont="1" applyFill="1"/>
    <xf numFmtId="0" fontId="0" fillId="10" borderId="0" xfId="0" applyFill="1"/>
    <xf numFmtId="0" fontId="5" fillId="10" borderId="0" xfId="0" applyFont="1" applyFill="1"/>
    <xf numFmtId="164" fontId="5" fillId="10" borderId="0" xfId="0" applyNumberFormat="1" applyFont="1" applyFill="1"/>
    <xf numFmtId="164" fontId="0" fillId="10" borderId="0" xfId="0" applyNumberFormat="1" applyFill="1"/>
    <xf numFmtId="0" fontId="8" fillId="0" borderId="1" xfId="1" applyFont="1" applyBorder="1"/>
    <xf numFmtId="0" fontId="9" fillId="0" borderId="0" xfId="0" applyFont="1"/>
    <xf numFmtId="0" fontId="9" fillId="11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wrapText="1"/>
    </xf>
    <xf numFmtId="0" fontId="9" fillId="6" borderId="8" xfId="0" applyFont="1" applyFill="1" applyBorder="1" applyAlignment="1">
      <alignment horizontal="center"/>
    </xf>
    <xf numFmtId="0" fontId="0" fillId="0" borderId="9" xfId="0" applyBorder="1" applyAlignment="1">
      <alignment wrapText="1"/>
    </xf>
    <xf numFmtId="0" fontId="9" fillId="12" borderId="8" xfId="0" applyFont="1" applyFill="1" applyBorder="1" applyAlignment="1">
      <alignment horizontal="center"/>
    </xf>
    <xf numFmtId="0" fontId="0" fillId="0" borderId="9" xfId="0" applyBorder="1"/>
    <xf numFmtId="0" fontId="9" fillId="13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13" borderId="0" xfId="0" applyFill="1"/>
    <xf numFmtId="0" fontId="0" fillId="12" borderId="0" xfId="0" applyFill="1"/>
    <xf numFmtId="0" fontId="0" fillId="15" borderId="0" xfId="0" applyFill="1"/>
    <xf numFmtId="164" fontId="5" fillId="8" borderId="13" xfId="0" applyNumberFormat="1" applyFont="1" applyFill="1" applyBorder="1"/>
    <xf numFmtId="164" fontId="0" fillId="0" borderId="0" xfId="0" applyNumberFormat="1" applyAlignment="1">
      <alignment horizontal="left"/>
    </xf>
    <xf numFmtId="0" fontId="5" fillId="9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vertical="center" wrapText="1"/>
    </xf>
    <xf numFmtId="164" fontId="5" fillId="0" borderId="0" xfId="0" applyNumberFormat="1" applyFont="1"/>
    <xf numFmtId="0" fontId="5" fillId="10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164" fontId="5" fillId="5" borderId="0" xfId="0" applyNumberFormat="1" applyFont="1" applyFill="1" applyAlignment="1">
      <alignment vertical="center" wrapText="1"/>
    </xf>
    <xf numFmtId="164" fontId="5" fillId="10" borderId="13" xfId="0" applyNumberFormat="1" applyFont="1" applyFill="1" applyBorder="1"/>
    <xf numFmtId="0" fontId="0" fillId="10" borderId="0" xfId="0" applyFill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7" fillId="0" borderId="0" xfId="0" applyFont="1"/>
    <xf numFmtId="0" fontId="2" fillId="14" borderId="14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4" xfId="0" applyBorder="1" applyAlignment="1">
      <alignment wrapText="1"/>
    </xf>
    <xf numFmtId="0" fontId="5" fillId="0" borderId="14" xfId="0" applyFont="1" applyBorder="1" applyAlignment="1">
      <alignment vertical="top"/>
    </xf>
    <xf numFmtId="0" fontId="18" fillId="13" borderId="14" xfId="0" applyFont="1" applyFill="1" applyBorder="1" applyAlignment="1">
      <alignment horizontal="center" vertical="top" wrapText="1"/>
    </xf>
    <xf numFmtId="0" fontId="5" fillId="12" borderId="14" xfId="0" applyFont="1" applyFill="1" applyBorder="1" applyAlignment="1">
      <alignment horizontal="center" vertical="top" wrapText="1"/>
    </xf>
    <xf numFmtId="0" fontId="5" fillId="15" borderId="14" xfId="0" applyFont="1" applyFill="1" applyBorder="1" applyAlignment="1">
      <alignment horizontal="center" vertical="top" wrapText="1"/>
    </xf>
    <xf numFmtId="0" fontId="5" fillId="13" borderId="14" xfId="0" applyFont="1" applyFill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6" fillId="17" borderId="15" xfId="0" applyFont="1" applyFill="1" applyBorder="1" applyAlignment="1">
      <alignment vertical="center" wrapText="1"/>
    </xf>
    <xf numFmtId="0" fontId="14" fillId="18" borderId="15" xfId="0" applyFont="1" applyFill="1" applyBorder="1" applyAlignment="1">
      <alignment vertical="center" wrapText="1"/>
    </xf>
    <xf numFmtId="0" fontId="15" fillId="18" borderId="15" xfId="0" applyFont="1" applyFill="1" applyBorder="1" applyAlignment="1">
      <alignment vertical="center" wrapText="1"/>
    </xf>
    <xf numFmtId="0" fontId="14" fillId="19" borderId="15" xfId="0" applyFont="1" applyFill="1" applyBorder="1" applyAlignment="1">
      <alignment vertical="center" wrapText="1"/>
    </xf>
    <xf numFmtId="0" fontId="15" fillId="19" borderId="15" xfId="0" applyFont="1" applyFill="1" applyBorder="1" applyAlignment="1">
      <alignment vertical="center" wrapText="1"/>
    </xf>
    <xf numFmtId="0" fontId="5" fillId="0" borderId="0" xfId="0" applyFont="1"/>
    <xf numFmtId="0" fontId="12" fillId="0" borderId="1" xfId="0" applyFont="1" applyBorder="1" applyAlignment="1">
      <alignment wrapText="1"/>
    </xf>
    <xf numFmtId="0" fontId="19" fillId="0" borderId="1" xfId="0" applyFont="1" applyBorder="1" applyAlignment="1">
      <alignment vertical="center"/>
    </xf>
    <xf numFmtId="0" fontId="20" fillId="6" borderId="1" xfId="0" applyFont="1" applyFill="1" applyBorder="1" applyAlignment="1">
      <alignment horizontal="center" wrapText="1"/>
    </xf>
    <xf numFmtId="0" fontId="20" fillId="12" borderId="1" xfId="0" applyFont="1" applyFill="1" applyBorder="1" applyAlignment="1">
      <alignment horizontal="center" wrapText="1"/>
    </xf>
    <xf numFmtId="0" fontId="20" fillId="11" borderId="1" xfId="0" applyFont="1" applyFill="1" applyBorder="1" applyAlignment="1">
      <alignment horizontal="center" wrapText="1"/>
    </xf>
    <xf numFmtId="0" fontId="20" fillId="13" borderId="1" xfId="0" applyFont="1" applyFill="1" applyBorder="1" applyAlignment="1">
      <alignment horizontal="center" wrapText="1"/>
    </xf>
    <xf numFmtId="0" fontId="19" fillId="3" borderId="1" xfId="0" applyFont="1" applyFill="1" applyBorder="1" applyAlignment="1">
      <alignment wrapText="1"/>
    </xf>
    <xf numFmtId="164" fontId="5" fillId="4" borderId="0" xfId="0" applyNumberFormat="1" applyFont="1" applyFill="1"/>
    <xf numFmtId="0" fontId="6" fillId="6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3" fillId="12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11" fillId="2" borderId="0" xfId="0" applyFont="1" applyFill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0445719-BAD5-4769-80CF-02B13911DF50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GB"/>
        </a:p>
      </dgm:t>
    </dgm:pt>
    <dgm:pt modelId="{F752BF74-8F9F-45C2-95EA-D15ADC39F4F2}">
      <dgm:prSet phldrT="[Text]"/>
      <dgm:spPr/>
      <dgm:t>
        <a:bodyPr/>
        <a:lstStyle/>
        <a:p>
          <a:r>
            <a:rPr lang="en-GB" b="1"/>
            <a:t>PFR</a:t>
          </a:r>
        </a:p>
      </dgm:t>
    </dgm:pt>
    <dgm:pt modelId="{0446370A-61ED-4BD4-ADC2-3711C8EED49C}" type="parTrans" cxnId="{CDBA38B2-D4DF-4B0A-B280-8ABC29074D04}">
      <dgm:prSet/>
      <dgm:spPr/>
      <dgm:t>
        <a:bodyPr/>
        <a:lstStyle/>
        <a:p>
          <a:endParaRPr lang="en-GB"/>
        </a:p>
      </dgm:t>
    </dgm:pt>
    <dgm:pt modelId="{648691ED-3062-4F51-9767-D5DA8660CFF8}" type="sibTrans" cxnId="{CDBA38B2-D4DF-4B0A-B280-8ABC29074D04}">
      <dgm:prSet/>
      <dgm:spPr/>
      <dgm:t>
        <a:bodyPr/>
        <a:lstStyle/>
        <a:p>
          <a:endParaRPr lang="en-GB"/>
        </a:p>
      </dgm:t>
    </dgm:pt>
    <dgm:pt modelId="{B20537DD-430F-49C7-9D35-8E566A0CB052}">
      <dgm:prSet phldrT="[Text]"/>
      <dgm:spPr/>
      <dgm:t>
        <a:bodyPr/>
        <a:lstStyle/>
        <a:p>
          <a:r>
            <a:rPr lang="en-GB"/>
            <a:t>Milestone 01 - Project Initiation</a:t>
          </a:r>
        </a:p>
      </dgm:t>
    </dgm:pt>
    <dgm:pt modelId="{1A1EE7E5-93AC-4C6D-96EC-7606E74382D9}" type="parTrans" cxnId="{84291BEE-A093-433C-9472-352618711D97}">
      <dgm:prSet/>
      <dgm:spPr/>
      <dgm:t>
        <a:bodyPr/>
        <a:lstStyle/>
        <a:p>
          <a:endParaRPr lang="en-GB"/>
        </a:p>
      </dgm:t>
    </dgm:pt>
    <dgm:pt modelId="{B195C8F2-37EA-46BD-ABCD-3FDF3BD2C7E9}" type="sibTrans" cxnId="{84291BEE-A093-433C-9472-352618711D97}">
      <dgm:prSet/>
      <dgm:spPr/>
      <dgm:t>
        <a:bodyPr/>
        <a:lstStyle/>
        <a:p>
          <a:endParaRPr lang="en-GB"/>
        </a:p>
      </dgm:t>
    </dgm:pt>
    <dgm:pt modelId="{FA5854D6-0145-4E84-A5D1-956867E789EC}">
      <dgm:prSet phldrT="[Text]"/>
      <dgm:spPr/>
      <dgm:t>
        <a:bodyPr/>
        <a:lstStyle/>
        <a:p>
          <a:r>
            <a:rPr lang="en-GB"/>
            <a:t>Milestone 02 - Research &amp; Data Curation</a:t>
          </a:r>
        </a:p>
      </dgm:t>
    </dgm:pt>
    <dgm:pt modelId="{4B1004BF-90B2-4A73-BF79-5D0799EB3F0F}" type="parTrans" cxnId="{E831B296-F6F3-4FFC-91A4-B8F7FD0C5EA5}">
      <dgm:prSet/>
      <dgm:spPr/>
      <dgm:t>
        <a:bodyPr/>
        <a:lstStyle/>
        <a:p>
          <a:endParaRPr lang="en-GB"/>
        </a:p>
      </dgm:t>
    </dgm:pt>
    <dgm:pt modelId="{63FE217A-6238-40C3-8D57-A7A933E79A9E}" type="sibTrans" cxnId="{E831B296-F6F3-4FFC-91A4-B8F7FD0C5EA5}">
      <dgm:prSet/>
      <dgm:spPr/>
      <dgm:t>
        <a:bodyPr/>
        <a:lstStyle/>
        <a:p>
          <a:endParaRPr lang="en-GB"/>
        </a:p>
      </dgm:t>
    </dgm:pt>
    <dgm:pt modelId="{BCF5286B-88ED-4013-B1D2-E14C43822EAF}">
      <dgm:prSet phldrT="[Text]"/>
      <dgm:spPr/>
      <dgm:t>
        <a:bodyPr/>
        <a:lstStyle/>
        <a:p>
          <a:r>
            <a:rPr lang="en-GB"/>
            <a:t>Milestone 03 - Engineering &amp; Model Training</a:t>
          </a:r>
        </a:p>
      </dgm:t>
    </dgm:pt>
    <dgm:pt modelId="{26E84976-E2C0-4791-80F6-A9CF602D9D4C}" type="parTrans" cxnId="{665E932C-69C4-423D-8AAB-7B9C4C282589}">
      <dgm:prSet/>
      <dgm:spPr/>
      <dgm:t>
        <a:bodyPr/>
        <a:lstStyle/>
        <a:p>
          <a:endParaRPr lang="en-GB"/>
        </a:p>
      </dgm:t>
    </dgm:pt>
    <dgm:pt modelId="{9B3FA4F7-5F4F-4608-A624-0C4D3259F29A}" type="sibTrans" cxnId="{665E932C-69C4-423D-8AAB-7B9C4C282589}">
      <dgm:prSet/>
      <dgm:spPr/>
      <dgm:t>
        <a:bodyPr/>
        <a:lstStyle/>
        <a:p>
          <a:endParaRPr lang="en-GB"/>
        </a:p>
      </dgm:t>
    </dgm:pt>
    <dgm:pt modelId="{DF282D31-BEDC-44F2-9304-FCFEC92F85A9}">
      <dgm:prSet/>
      <dgm:spPr/>
      <dgm:t>
        <a:bodyPr/>
        <a:lstStyle/>
        <a:p>
          <a:r>
            <a:rPr lang="en-GB"/>
            <a:t>Milestone 04 - Deployment &amp; Validation</a:t>
          </a:r>
        </a:p>
      </dgm:t>
    </dgm:pt>
    <dgm:pt modelId="{9EF91342-D8C3-4F20-9FFD-86CC9146A009}" type="parTrans" cxnId="{AF943ADE-E261-4238-9C41-754F55A6E773}">
      <dgm:prSet/>
      <dgm:spPr/>
      <dgm:t>
        <a:bodyPr/>
        <a:lstStyle/>
        <a:p>
          <a:endParaRPr lang="en-GB"/>
        </a:p>
      </dgm:t>
    </dgm:pt>
    <dgm:pt modelId="{A249833E-318D-45CE-BB93-8A3AFB3D65EE}" type="sibTrans" cxnId="{AF943ADE-E261-4238-9C41-754F55A6E773}">
      <dgm:prSet/>
      <dgm:spPr/>
      <dgm:t>
        <a:bodyPr/>
        <a:lstStyle/>
        <a:p>
          <a:endParaRPr lang="en-GB"/>
        </a:p>
      </dgm:t>
    </dgm:pt>
    <dgm:pt modelId="{E850F42E-5154-4597-9E5B-5A1DFCC5F318}">
      <dgm:prSet/>
      <dgm:spPr/>
      <dgm:t>
        <a:bodyPr/>
        <a:lstStyle/>
        <a:p>
          <a:r>
            <a:rPr lang="en-GB"/>
            <a:t>Problem definition &amp; Project Overview</a:t>
          </a:r>
        </a:p>
      </dgm:t>
    </dgm:pt>
    <dgm:pt modelId="{41C85F56-B930-4C23-A718-02BD9417750D}" type="parTrans" cxnId="{522E2B92-420C-4C21-A921-69E6F35C6909}">
      <dgm:prSet/>
      <dgm:spPr/>
      <dgm:t>
        <a:bodyPr/>
        <a:lstStyle/>
        <a:p>
          <a:endParaRPr lang="en-GB"/>
        </a:p>
      </dgm:t>
    </dgm:pt>
    <dgm:pt modelId="{26B46C6F-B920-4774-BE13-7ED8CED51DE3}" type="sibTrans" cxnId="{522E2B92-420C-4C21-A921-69E6F35C6909}">
      <dgm:prSet/>
      <dgm:spPr/>
      <dgm:t>
        <a:bodyPr/>
        <a:lstStyle/>
        <a:p>
          <a:endParaRPr lang="en-GB"/>
        </a:p>
      </dgm:t>
    </dgm:pt>
    <dgm:pt modelId="{93813957-6C61-4A36-A293-B2D040B59E93}">
      <dgm:prSet/>
      <dgm:spPr/>
      <dgm:t>
        <a:bodyPr/>
        <a:lstStyle/>
        <a:p>
          <a:r>
            <a:rPr lang="en-GB"/>
            <a:t>Team Role Assigning</a:t>
          </a:r>
        </a:p>
      </dgm:t>
    </dgm:pt>
    <dgm:pt modelId="{5F08F7B9-450A-49DB-A24F-D7E41F0E751C}" type="parTrans" cxnId="{B3DCB9BB-7875-4FC7-A105-D3B3E74864B0}">
      <dgm:prSet/>
      <dgm:spPr/>
      <dgm:t>
        <a:bodyPr/>
        <a:lstStyle/>
        <a:p>
          <a:endParaRPr lang="en-GB"/>
        </a:p>
      </dgm:t>
    </dgm:pt>
    <dgm:pt modelId="{97538E57-2BAF-443C-8186-86F3B088FF53}" type="sibTrans" cxnId="{B3DCB9BB-7875-4FC7-A105-D3B3E74864B0}">
      <dgm:prSet/>
      <dgm:spPr/>
      <dgm:t>
        <a:bodyPr/>
        <a:lstStyle/>
        <a:p>
          <a:endParaRPr lang="en-GB"/>
        </a:p>
      </dgm:t>
    </dgm:pt>
    <dgm:pt modelId="{8AB08987-DA5B-4A55-A60D-C82DC3B5C3C1}">
      <dgm:prSet/>
      <dgm:spPr/>
      <dgm:t>
        <a:bodyPr/>
        <a:lstStyle/>
        <a:p>
          <a:r>
            <a:rPr lang="en-GB"/>
            <a:t>Project Planinig</a:t>
          </a:r>
        </a:p>
      </dgm:t>
    </dgm:pt>
    <dgm:pt modelId="{C694C20B-BBBE-41C5-8789-6C174C7FFF02}" type="parTrans" cxnId="{5586E9ED-AF5B-42CF-BFD0-A62DE0766B51}">
      <dgm:prSet/>
      <dgm:spPr/>
      <dgm:t>
        <a:bodyPr/>
        <a:lstStyle/>
        <a:p>
          <a:endParaRPr lang="en-GB"/>
        </a:p>
      </dgm:t>
    </dgm:pt>
    <dgm:pt modelId="{A7BAD9C2-9A03-41D5-8537-93E3A56BA873}" type="sibTrans" cxnId="{5586E9ED-AF5B-42CF-BFD0-A62DE0766B51}">
      <dgm:prSet/>
      <dgm:spPr/>
      <dgm:t>
        <a:bodyPr/>
        <a:lstStyle/>
        <a:p>
          <a:endParaRPr lang="en-GB"/>
        </a:p>
      </dgm:t>
    </dgm:pt>
    <dgm:pt modelId="{88987A7E-583A-4948-9C73-22DAD7BCB6A2}">
      <dgm:prSet/>
      <dgm:spPr/>
      <dgm:t>
        <a:bodyPr/>
        <a:lstStyle/>
        <a:p>
          <a:r>
            <a:rPr lang="en-GB"/>
            <a:t>Project Documentation</a:t>
          </a:r>
        </a:p>
      </dgm:t>
    </dgm:pt>
    <dgm:pt modelId="{941C0B28-C421-4B38-86E9-D6AB046F7025}" type="parTrans" cxnId="{AF19A6C6-C94B-449F-B7BC-FDE5E8864C85}">
      <dgm:prSet/>
      <dgm:spPr/>
      <dgm:t>
        <a:bodyPr/>
        <a:lstStyle/>
        <a:p>
          <a:endParaRPr lang="en-GB"/>
        </a:p>
      </dgm:t>
    </dgm:pt>
    <dgm:pt modelId="{C2BEED4B-5ECB-4836-83BC-16D543F127F5}" type="sibTrans" cxnId="{AF19A6C6-C94B-449F-B7BC-FDE5E8864C85}">
      <dgm:prSet/>
      <dgm:spPr/>
      <dgm:t>
        <a:bodyPr/>
        <a:lstStyle/>
        <a:p>
          <a:endParaRPr lang="en-GB"/>
        </a:p>
      </dgm:t>
    </dgm:pt>
    <dgm:pt modelId="{9BF6BBFE-FB28-4773-9DB2-774FD80F21FE}">
      <dgm:prSet/>
      <dgm:spPr/>
      <dgm:t>
        <a:bodyPr/>
        <a:lstStyle/>
        <a:p>
          <a:r>
            <a:rPr lang="en-GB"/>
            <a:t>Research</a:t>
          </a:r>
        </a:p>
      </dgm:t>
    </dgm:pt>
    <dgm:pt modelId="{38EB446D-DA0A-47BC-B74F-23EA8021CC43}" type="parTrans" cxnId="{53A7738D-AA15-4490-9FF2-078AF78CA43E}">
      <dgm:prSet/>
      <dgm:spPr/>
      <dgm:t>
        <a:bodyPr/>
        <a:lstStyle/>
        <a:p>
          <a:endParaRPr lang="en-GB"/>
        </a:p>
      </dgm:t>
    </dgm:pt>
    <dgm:pt modelId="{F1895A85-648A-4162-AEB1-D53290088B4E}" type="sibTrans" cxnId="{53A7738D-AA15-4490-9FF2-078AF78CA43E}">
      <dgm:prSet/>
      <dgm:spPr/>
      <dgm:t>
        <a:bodyPr/>
        <a:lstStyle/>
        <a:p>
          <a:endParaRPr lang="en-GB"/>
        </a:p>
      </dgm:t>
    </dgm:pt>
    <dgm:pt modelId="{4184807F-37F9-4E32-8CD0-85EC6EADAE76}">
      <dgm:prSet/>
      <dgm:spPr/>
      <dgm:t>
        <a:bodyPr/>
        <a:lstStyle/>
        <a:p>
          <a:r>
            <a:rPr lang="en-GB"/>
            <a:t>Data set Selection</a:t>
          </a:r>
        </a:p>
      </dgm:t>
    </dgm:pt>
    <dgm:pt modelId="{1B31F5D0-F663-41FF-A16D-4249D3D2C5D3}" type="parTrans" cxnId="{E0B31BA6-E784-4FCD-A206-C67ADAFE124B}">
      <dgm:prSet/>
      <dgm:spPr/>
      <dgm:t>
        <a:bodyPr/>
        <a:lstStyle/>
        <a:p>
          <a:endParaRPr lang="en-GB"/>
        </a:p>
      </dgm:t>
    </dgm:pt>
    <dgm:pt modelId="{7C01FC7A-6F5F-4DB9-ADF0-3E96667427A3}" type="sibTrans" cxnId="{E0B31BA6-E784-4FCD-A206-C67ADAFE124B}">
      <dgm:prSet/>
      <dgm:spPr/>
      <dgm:t>
        <a:bodyPr/>
        <a:lstStyle/>
        <a:p>
          <a:endParaRPr lang="en-GB"/>
        </a:p>
      </dgm:t>
    </dgm:pt>
    <dgm:pt modelId="{DEAE21FB-8AF6-4072-A2CB-50965012D06E}">
      <dgm:prSet/>
      <dgm:spPr/>
      <dgm:t>
        <a:bodyPr/>
        <a:lstStyle/>
        <a:p>
          <a:r>
            <a:rPr lang="en-GB"/>
            <a:t>Image Preprossesing</a:t>
          </a:r>
        </a:p>
      </dgm:t>
    </dgm:pt>
    <dgm:pt modelId="{5B8BCEC9-4740-4328-972F-A739AB1B116D}" type="parTrans" cxnId="{E1F856B5-F154-449C-9748-CDCCB18AB23B}">
      <dgm:prSet/>
      <dgm:spPr/>
      <dgm:t>
        <a:bodyPr/>
        <a:lstStyle/>
        <a:p>
          <a:endParaRPr lang="en-GB"/>
        </a:p>
      </dgm:t>
    </dgm:pt>
    <dgm:pt modelId="{B85BF41B-B2D5-4D53-8E97-8CFD65ECCC03}" type="sibTrans" cxnId="{E1F856B5-F154-449C-9748-CDCCB18AB23B}">
      <dgm:prSet/>
      <dgm:spPr/>
      <dgm:t>
        <a:bodyPr/>
        <a:lstStyle/>
        <a:p>
          <a:endParaRPr lang="en-GB"/>
        </a:p>
      </dgm:t>
    </dgm:pt>
    <dgm:pt modelId="{7546F05E-8CFE-4EDB-BACC-30D5B39A7E52}">
      <dgm:prSet/>
      <dgm:spPr/>
      <dgm:t>
        <a:bodyPr/>
        <a:lstStyle/>
        <a:p>
          <a:r>
            <a:rPr lang="en-GB"/>
            <a:t>Feature Extraction</a:t>
          </a:r>
        </a:p>
      </dgm:t>
    </dgm:pt>
    <dgm:pt modelId="{94CF4B86-9844-45B8-A309-C7270FA215FA}" type="parTrans" cxnId="{101EEF5A-1EB2-4E19-B733-0C7F90F83553}">
      <dgm:prSet/>
      <dgm:spPr/>
      <dgm:t>
        <a:bodyPr/>
        <a:lstStyle/>
        <a:p>
          <a:endParaRPr lang="en-GB"/>
        </a:p>
      </dgm:t>
    </dgm:pt>
    <dgm:pt modelId="{19136B9C-8673-4AB2-9377-741F0FC995E5}" type="sibTrans" cxnId="{101EEF5A-1EB2-4E19-B733-0C7F90F83553}">
      <dgm:prSet/>
      <dgm:spPr/>
      <dgm:t>
        <a:bodyPr/>
        <a:lstStyle/>
        <a:p>
          <a:endParaRPr lang="en-GB"/>
        </a:p>
      </dgm:t>
    </dgm:pt>
    <dgm:pt modelId="{A37E731A-3144-4395-B9B1-15C49B54ABF8}">
      <dgm:prSet/>
      <dgm:spPr/>
      <dgm:t>
        <a:bodyPr/>
        <a:lstStyle/>
        <a:p>
          <a:r>
            <a:rPr lang="en-GB"/>
            <a:t>Design the Model Architecture</a:t>
          </a:r>
        </a:p>
      </dgm:t>
    </dgm:pt>
    <dgm:pt modelId="{F551BD65-11BD-45A7-8911-786824B9F380}" type="parTrans" cxnId="{5855A3D0-0B35-433C-8DE2-9A36CDA668C8}">
      <dgm:prSet/>
      <dgm:spPr/>
      <dgm:t>
        <a:bodyPr/>
        <a:lstStyle/>
        <a:p>
          <a:endParaRPr lang="en-GB"/>
        </a:p>
      </dgm:t>
    </dgm:pt>
    <dgm:pt modelId="{7247770B-A43E-43F3-8F89-8E59970F10C0}" type="sibTrans" cxnId="{5855A3D0-0B35-433C-8DE2-9A36CDA668C8}">
      <dgm:prSet/>
      <dgm:spPr/>
      <dgm:t>
        <a:bodyPr/>
        <a:lstStyle/>
        <a:p>
          <a:endParaRPr lang="en-GB"/>
        </a:p>
      </dgm:t>
    </dgm:pt>
    <dgm:pt modelId="{4D2B5B5D-0307-405D-ACEA-021FF5640DFB}">
      <dgm:prSet/>
      <dgm:spPr/>
      <dgm:t>
        <a:bodyPr/>
        <a:lstStyle/>
        <a:p>
          <a:r>
            <a:rPr lang="en-GB"/>
            <a:t>Model Development</a:t>
          </a:r>
        </a:p>
      </dgm:t>
    </dgm:pt>
    <dgm:pt modelId="{06F33928-FD70-4C8B-9B1B-4C102D5DB5DA}" type="parTrans" cxnId="{A1C94B50-A3B2-4B0F-8587-8518FC65A840}">
      <dgm:prSet/>
      <dgm:spPr/>
      <dgm:t>
        <a:bodyPr/>
        <a:lstStyle/>
        <a:p>
          <a:endParaRPr lang="en-GB"/>
        </a:p>
      </dgm:t>
    </dgm:pt>
    <dgm:pt modelId="{9B402B0F-205B-4EAD-95C7-34353DDAAD03}" type="sibTrans" cxnId="{A1C94B50-A3B2-4B0F-8587-8518FC65A840}">
      <dgm:prSet/>
      <dgm:spPr/>
      <dgm:t>
        <a:bodyPr/>
        <a:lstStyle/>
        <a:p>
          <a:endParaRPr lang="en-GB"/>
        </a:p>
      </dgm:t>
    </dgm:pt>
    <dgm:pt modelId="{94041896-B8DF-4FBB-9F19-6778459FFFC7}">
      <dgm:prSet/>
      <dgm:spPr/>
      <dgm:t>
        <a:bodyPr/>
        <a:lstStyle/>
        <a:p>
          <a:r>
            <a:rPr lang="en-GB"/>
            <a:t>Error Handelling</a:t>
          </a:r>
        </a:p>
      </dgm:t>
    </dgm:pt>
    <dgm:pt modelId="{89681F33-65CB-407F-9541-68327A1A6F2D}" type="parTrans" cxnId="{10F83EA3-95AE-446C-8AAD-FF0F6CAB32E9}">
      <dgm:prSet/>
      <dgm:spPr/>
      <dgm:t>
        <a:bodyPr/>
        <a:lstStyle/>
        <a:p>
          <a:endParaRPr lang="en-GB"/>
        </a:p>
      </dgm:t>
    </dgm:pt>
    <dgm:pt modelId="{51D13835-5972-483A-8C62-C642AE5CB525}" type="sibTrans" cxnId="{10F83EA3-95AE-446C-8AAD-FF0F6CAB32E9}">
      <dgm:prSet/>
      <dgm:spPr/>
      <dgm:t>
        <a:bodyPr/>
        <a:lstStyle/>
        <a:p>
          <a:endParaRPr lang="en-GB"/>
        </a:p>
      </dgm:t>
    </dgm:pt>
    <dgm:pt modelId="{7D60F1DB-FA73-4C0E-9EE6-A8F246AB75C6}">
      <dgm:prSet/>
      <dgm:spPr/>
      <dgm:t>
        <a:bodyPr/>
        <a:lstStyle/>
        <a:p>
          <a:r>
            <a:rPr lang="en-GB"/>
            <a:t>Testing &amp; Validation</a:t>
          </a:r>
        </a:p>
      </dgm:t>
    </dgm:pt>
    <dgm:pt modelId="{3A15363A-2211-4304-A9A1-E5C504C8BB00}" type="parTrans" cxnId="{CC71CAFC-CEAA-43E6-A71C-7BDA2F4AD106}">
      <dgm:prSet/>
      <dgm:spPr/>
      <dgm:t>
        <a:bodyPr/>
        <a:lstStyle/>
        <a:p>
          <a:endParaRPr lang="en-GB"/>
        </a:p>
      </dgm:t>
    </dgm:pt>
    <dgm:pt modelId="{FDECC054-C707-400D-8E8E-C6AEB1C17E2F}" type="sibTrans" cxnId="{CC71CAFC-CEAA-43E6-A71C-7BDA2F4AD106}">
      <dgm:prSet/>
      <dgm:spPr/>
      <dgm:t>
        <a:bodyPr/>
        <a:lstStyle/>
        <a:p>
          <a:endParaRPr lang="en-GB"/>
        </a:p>
      </dgm:t>
    </dgm:pt>
    <dgm:pt modelId="{8F8C0F81-CFB9-4476-8299-DBEEFC355C11}">
      <dgm:prSet/>
      <dgm:spPr/>
      <dgm:t>
        <a:bodyPr/>
        <a:lstStyle/>
        <a:p>
          <a:r>
            <a:rPr lang="en-GB"/>
            <a:t>UI Creation and development</a:t>
          </a:r>
        </a:p>
      </dgm:t>
    </dgm:pt>
    <dgm:pt modelId="{31F55AC9-CB09-495E-833E-75ABBD505B74}" type="parTrans" cxnId="{084F01D4-DC5C-4276-95E2-521A8D57B637}">
      <dgm:prSet/>
      <dgm:spPr/>
      <dgm:t>
        <a:bodyPr/>
        <a:lstStyle/>
        <a:p>
          <a:endParaRPr lang="en-GB"/>
        </a:p>
      </dgm:t>
    </dgm:pt>
    <dgm:pt modelId="{B93E7955-B6E0-4092-A767-410418EA63FA}" type="sibTrans" cxnId="{084F01D4-DC5C-4276-95E2-521A8D57B637}">
      <dgm:prSet/>
      <dgm:spPr/>
      <dgm:t>
        <a:bodyPr/>
        <a:lstStyle/>
        <a:p>
          <a:endParaRPr lang="en-GB"/>
        </a:p>
      </dgm:t>
    </dgm:pt>
    <dgm:pt modelId="{D6C87F09-F028-4F02-9513-F1B8104B9743}">
      <dgm:prSet/>
      <dgm:spPr/>
      <dgm:t>
        <a:bodyPr/>
        <a:lstStyle/>
        <a:p>
          <a:r>
            <a:rPr lang="en-GB"/>
            <a:t>Quality Assuarance</a:t>
          </a:r>
        </a:p>
      </dgm:t>
    </dgm:pt>
    <dgm:pt modelId="{5A6BCDC7-1D64-4DE0-95FB-58EBD451BBEA}" type="parTrans" cxnId="{F5F4699B-CE5B-4B94-A7C5-56251FA460AA}">
      <dgm:prSet/>
      <dgm:spPr/>
      <dgm:t>
        <a:bodyPr/>
        <a:lstStyle/>
        <a:p>
          <a:endParaRPr lang="en-GB"/>
        </a:p>
      </dgm:t>
    </dgm:pt>
    <dgm:pt modelId="{572C9F5E-6228-4D02-9022-77517C46F13C}" type="sibTrans" cxnId="{F5F4699B-CE5B-4B94-A7C5-56251FA460AA}">
      <dgm:prSet/>
      <dgm:spPr/>
      <dgm:t>
        <a:bodyPr/>
        <a:lstStyle/>
        <a:p>
          <a:endParaRPr lang="en-GB"/>
        </a:p>
      </dgm:t>
    </dgm:pt>
    <dgm:pt modelId="{659C7450-ED1F-49DC-969C-B6BD868F9713}">
      <dgm:prSet/>
      <dgm:spPr/>
      <dgm:t>
        <a:bodyPr/>
        <a:lstStyle/>
        <a:p>
          <a:r>
            <a:rPr lang="en-GB"/>
            <a:t>Final Testing for Model Accuracy</a:t>
          </a:r>
        </a:p>
      </dgm:t>
    </dgm:pt>
    <dgm:pt modelId="{1128603D-B806-4DAC-A66B-EC5EFFD5042A}" type="parTrans" cxnId="{ACD54CC1-672D-4ADE-848A-94B6D14D27FF}">
      <dgm:prSet/>
      <dgm:spPr/>
      <dgm:t>
        <a:bodyPr/>
        <a:lstStyle/>
        <a:p>
          <a:endParaRPr lang="en-GB"/>
        </a:p>
      </dgm:t>
    </dgm:pt>
    <dgm:pt modelId="{7A6CB655-88C4-4903-8FB2-614CED8ED2F1}" type="sibTrans" cxnId="{ACD54CC1-672D-4ADE-848A-94B6D14D27FF}">
      <dgm:prSet/>
      <dgm:spPr/>
      <dgm:t>
        <a:bodyPr/>
        <a:lstStyle/>
        <a:p>
          <a:endParaRPr lang="en-GB"/>
        </a:p>
      </dgm:t>
    </dgm:pt>
    <dgm:pt modelId="{36BD4972-E8CB-42AD-9FCD-473367B48339}">
      <dgm:prSet/>
      <dgm:spPr/>
      <dgm:t>
        <a:bodyPr/>
        <a:lstStyle/>
        <a:p>
          <a:r>
            <a:rPr lang="en-GB"/>
            <a:t>Deployment and Presentation</a:t>
          </a:r>
        </a:p>
      </dgm:t>
    </dgm:pt>
    <dgm:pt modelId="{4E7452F9-084B-46D0-A934-ED92562A6A0F}" type="parTrans" cxnId="{6D058F35-242C-40A4-9210-87526C34698B}">
      <dgm:prSet/>
      <dgm:spPr/>
      <dgm:t>
        <a:bodyPr/>
        <a:lstStyle/>
        <a:p>
          <a:endParaRPr lang="en-GB"/>
        </a:p>
      </dgm:t>
    </dgm:pt>
    <dgm:pt modelId="{C3135406-D7AA-4811-B535-841873A5C134}" type="sibTrans" cxnId="{6D058F35-242C-40A4-9210-87526C34698B}">
      <dgm:prSet/>
      <dgm:spPr/>
      <dgm:t>
        <a:bodyPr/>
        <a:lstStyle/>
        <a:p>
          <a:endParaRPr lang="en-GB"/>
        </a:p>
      </dgm:t>
    </dgm:pt>
    <dgm:pt modelId="{6553818F-01F5-4C56-8181-8AB3A96515FE}" type="pres">
      <dgm:prSet presAssocID="{30445719-BAD5-4769-80CF-02B13911DF50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DBB09C60-709C-42BA-84FD-7E433F8550CA}" type="pres">
      <dgm:prSet presAssocID="{F752BF74-8F9F-45C2-95EA-D15ADC39F4F2}" presName="hierRoot1" presStyleCnt="0">
        <dgm:presLayoutVars>
          <dgm:hierBranch val="init"/>
        </dgm:presLayoutVars>
      </dgm:prSet>
      <dgm:spPr/>
    </dgm:pt>
    <dgm:pt modelId="{8DD51532-7D85-4F89-8AD4-CB021712D888}" type="pres">
      <dgm:prSet presAssocID="{F752BF74-8F9F-45C2-95EA-D15ADC39F4F2}" presName="rootComposite1" presStyleCnt="0"/>
      <dgm:spPr/>
    </dgm:pt>
    <dgm:pt modelId="{7530726E-38A5-4024-8BD5-E099A59420B7}" type="pres">
      <dgm:prSet presAssocID="{F752BF74-8F9F-45C2-95EA-D15ADC39F4F2}" presName="rootText1" presStyleLbl="node0" presStyleIdx="0" presStyleCnt="1">
        <dgm:presLayoutVars>
          <dgm:chPref val="3"/>
        </dgm:presLayoutVars>
      </dgm:prSet>
      <dgm:spPr/>
    </dgm:pt>
    <dgm:pt modelId="{26A6070F-291F-41CE-8FD0-5C5AB207873C}" type="pres">
      <dgm:prSet presAssocID="{F752BF74-8F9F-45C2-95EA-D15ADC39F4F2}" presName="rootConnector1" presStyleLbl="node1" presStyleIdx="0" presStyleCnt="0"/>
      <dgm:spPr/>
    </dgm:pt>
    <dgm:pt modelId="{0422A098-D8F0-4CFB-B409-9156D8E1B7B2}" type="pres">
      <dgm:prSet presAssocID="{F752BF74-8F9F-45C2-95EA-D15ADC39F4F2}" presName="hierChild2" presStyleCnt="0"/>
      <dgm:spPr/>
    </dgm:pt>
    <dgm:pt modelId="{A2AC1E27-3A56-4638-947F-37262C648041}" type="pres">
      <dgm:prSet presAssocID="{1A1EE7E5-93AC-4C6D-96EC-7606E74382D9}" presName="Name37" presStyleLbl="parChTrans1D2" presStyleIdx="0" presStyleCnt="4"/>
      <dgm:spPr/>
    </dgm:pt>
    <dgm:pt modelId="{67190BDB-04F9-40F8-9D4C-DAE9F8CCA33C}" type="pres">
      <dgm:prSet presAssocID="{B20537DD-430F-49C7-9D35-8E566A0CB052}" presName="hierRoot2" presStyleCnt="0">
        <dgm:presLayoutVars>
          <dgm:hierBranch val="init"/>
        </dgm:presLayoutVars>
      </dgm:prSet>
      <dgm:spPr/>
    </dgm:pt>
    <dgm:pt modelId="{4D2367D4-7691-4C6A-9C70-18803BB28B46}" type="pres">
      <dgm:prSet presAssocID="{B20537DD-430F-49C7-9D35-8E566A0CB052}" presName="rootComposite" presStyleCnt="0"/>
      <dgm:spPr/>
    </dgm:pt>
    <dgm:pt modelId="{CEDFBB25-0E61-4CF9-B348-6C131A9C7B4B}" type="pres">
      <dgm:prSet presAssocID="{B20537DD-430F-49C7-9D35-8E566A0CB052}" presName="rootText" presStyleLbl="node2" presStyleIdx="0" presStyleCnt="4">
        <dgm:presLayoutVars>
          <dgm:chPref val="3"/>
        </dgm:presLayoutVars>
      </dgm:prSet>
      <dgm:spPr/>
    </dgm:pt>
    <dgm:pt modelId="{1D83AA4C-4771-4F46-83CC-83B9F65F8206}" type="pres">
      <dgm:prSet presAssocID="{B20537DD-430F-49C7-9D35-8E566A0CB052}" presName="rootConnector" presStyleLbl="node2" presStyleIdx="0" presStyleCnt="4"/>
      <dgm:spPr/>
    </dgm:pt>
    <dgm:pt modelId="{2116ED4F-1735-45F2-BF51-73A9BD686263}" type="pres">
      <dgm:prSet presAssocID="{B20537DD-430F-49C7-9D35-8E566A0CB052}" presName="hierChild4" presStyleCnt="0"/>
      <dgm:spPr/>
    </dgm:pt>
    <dgm:pt modelId="{584DD668-205E-41DF-93AD-016F262043DC}" type="pres">
      <dgm:prSet presAssocID="{41C85F56-B930-4C23-A718-02BD9417750D}" presName="Name37" presStyleLbl="parChTrans1D3" presStyleIdx="0" presStyleCnt="16"/>
      <dgm:spPr/>
    </dgm:pt>
    <dgm:pt modelId="{74CE41A5-5FC5-4D25-9F42-BB141FD8A35D}" type="pres">
      <dgm:prSet presAssocID="{E850F42E-5154-4597-9E5B-5A1DFCC5F318}" presName="hierRoot2" presStyleCnt="0">
        <dgm:presLayoutVars>
          <dgm:hierBranch val="init"/>
        </dgm:presLayoutVars>
      </dgm:prSet>
      <dgm:spPr/>
    </dgm:pt>
    <dgm:pt modelId="{A13DE001-DA33-4450-8AC7-59422EFE0706}" type="pres">
      <dgm:prSet presAssocID="{E850F42E-5154-4597-9E5B-5A1DFCC5F318}" presName="rootComposite" presStyleCnt="0"/>
      <dgm:spPr/>
    </dgm:pt>
    <dgm:pt modelId="{8B5AA12E-CC88-4A0D-94ED-C92EA03729D0}" type="pres">
      <dgm:prSet presAssocID="{E850F42E-5154-4597-9E5B-5A1DFCC5F318}" presName="rootText" presStyleLbl="node3" presStyleIdx="0" presStyleCnt="16">
        <dgm:presLayoutVars>
          <dgm:chPref val="3"/>
        </dgm:presLayoutVars>
      </dgm:prSet>
      <dgm:spPr/>
    </dgm:pt>
    <dgm:pt modelId="{A7A2F164-E0A0-4147-AFC4-E2EFF790B2B8}" type="pres">
      <dgm:prSet presAssocID="{E850F42E-5154-4597-9E5B-5A1DFCC5F318}" presName="rootConnector" presStyleLbl="node3" presStyleIdx="0" presStyleCnt="16"/>
      <dgm:spPr/>
    </dgm:pt>
    <dgm:pt modelId="{2BC1E23B-D5F5-40FD-92B6-50C73C04C73D}" type="pres">
      <dgm:prSet presAssocID="{E850F42E-5154-4597-9E5B-5A1DFCC5F318}" presName="hierChild4" presStyleCnt="0"/>
      <dgm:spPr/>
    </dgm:pt>
    <dgm:pt modelId="{7170F224-D033-42B1-A4A3-EF5D9F07D358}" type="pres">
      <dgm:prSet presAssocID="{E850F42E-5154-4597-9E5B-5A1DFCC5F318}" presName="hierChild5" presStyleCnt="0"/>
      <dgm:spPr/>
    </dgm:pt>
    <dgm:pt modelId="{313A07E1-67A2-497D-89B8-ACA948D8AB61}" type="pres">
      <dgm:prSet presAssocID="{5F08F7B9-450A-49DB-A24F-D7E41F0E751C}" presName="Name37" presStyleLbl="parChTrans1D3" presStyleIdx="1" presStyleCnt="16"/>
      <dgm:spPr/>
    </dgm:pt>
    <dgm:pt modelId="{46625F0B-5C51-43DA-869C-8338AEA1B527}" type="pres">
      <dgm:prSet presAssocID="{93813957-6C61-4A36-A293-B2D040B59E93}" presName="hierRoot2" presStyleCnt="0">
        <dgm:presLayoutVars>
          <dgm:hierBranch val="init"/>
        </dgm:presLayoutVars>
      </dgm:prSet>
      <dgm:spPr/>
    </dgm:pt>
    <dgm:pt modelId="{39EEE9BD-36C3-4551-B94E-46D52C53DCDE}" type="pres">
      <dgm:prSet presAssocID="{93813957-6C61-4A36-A293-B2D040B59E93}" presName="rootComposite" presStyleCnt="0"/>
      <dgm:spPr/>
    </dgm:pt>
    <dgm:pt modelId="{341E3424-4BA6-4FA2-8739-C0A76EF51C2B}" type="pres">
      <dgm:prSet presAssocID="{93813957-6C61-4A36-A293-B2D040B59E93}" presName="rootText" presStyleLbl="node3" presStyleIdx="1" presStyleCnt="16">
        <dgm:presLayoutVars>
          <dgm:chPref val="3"/>
        </dgm:presLayoutVars>
      </dgm:prSet>
      <dgm:spPr/>
    </dgm:pt>
    <dgm:pt modelId="{716AF960-6CDE-455F-BF79-5B7C84BA32B9}" type="pres">
      <dgm:prSet presAssocID="{93813957-6C61-4A36-A293-B2D040B59E93}" presName="rootConnector" presStyleLbl="node3" presStyleIdx="1" presStyleCnt="16"/>
      <dgm:spPr/>
    </dgm:pt>
    <dgm:pt modelId="{5C378885-6810-4EE1-AAF4-B13D9C226808}" type="pres">
      <dgm:prSet presAssocID="{93813957-6C61-4A36-A293-B2D040B59E93}" presName="hierChild4" presStyleCnt="0"/>
      <dgm:spPr/>
    </dgm:pt>
    <dgm:pt modelId="{41C55F44-F0B4-4181-8E94-D9CF513F0307}" type="pres">
      <dgm:prSet presAssocID="{93813957-6C61-4A36-A293-B2D040B59E93}" presName="hierChild5" presStyleCnt="0"/>
      <dgm:spPr/>
    </dgm:pt>
    <dgm:pt modelId="{9297F4E2-1EE6-4DCE-BBEF-F8F66F196839}" type="pres">
      <dgm:prSet presAssocID="{C694C20B-BBBE-41C5-8789-6C174C7FFF02}" presName="Name37" presStyleLbl="parChTrans1D3" presStyleIdx="2" presStyleCnt="16"/>
      <dgm:spPr/>
    </dgm:pt>
    <dgm:pt modelId="{337ECBEB-CB6D-46FE-AA16-425082E7ECDC}" type="pres">
      <dgm:prSet presAssocID="{8AB08987-DA5B-4A55-A60D-C82DC3B5C3C1}" presName="hierRoot2" presStyleCnt="0">
        <dgm:presLayoutVars>
          <dgm:hierBranch val="init"/>
        </dgm:presLayoutVars>
      </dgm:prSet>
      <dgm:spPr/>
    </dgm:pt>
    <dgm:pt modelId="{338D7B92-B7CA-4A70-9818-2CB47C478715}" type="pres">
      <dgm:prSet presAssocID="{8AB08987-DA5B-4A55-A60D-C82DC3B5C3C1}" presName="rootComposite" presStyleCnt="0"/>
      <dgm:spPr/>
    </dgm:pt>
    <dgm:pt modelId="{46A3A343-48AC-4E94-8E8F-0B5C631376CF}" type="pres">
      <dgm:prSet presAssocID="{8AB08987-DA5B-4A55-A60D-C82DC3B5C3C1}" presName="rootText" presStyleLbl="node3" presStyleIdx="2" presStyleCnt="16">
        <dgm:presLayoutVars>
          <dgm:chPref val="3"/>
        </dgm:presLayoutVars>
      </dgm:prSet>
      <dgm:spPr/>
    </dgm:pt>
    <dgm:pt modelId="{7DF23142-59F8-439A-A054-A89C04B794EA}" type="pres">
      <dgm:prSet presAssocID="{8AB08987-DA5B-4A55-A60D-C82DC3B5C3C1}" presName="rootConnector" presStyleLbl="node3" presStyleIdx="2" presStyleCnt="16"/>
      <dgm:spPr/>
    </dgm:pt>
    <dgm:pt modelId="{A7D7D858-DD8D-4A55-9F1F-BAC6C45119C4}" type="pres">
      <dgm:prSet presAssocID="{8AB08987-DA5B-4A55-A60D-C82DC3B5C3C1}" presName="hierChild4" presStyleCnt="0"/>
      <dgm:spPr/>
    </dgm:pt>
    <dgm:pt modelId="{C9541DC9-A0DD-47CF-B04B-559E27582DCE}" type="pres">
      <dgm:prSet presAssocID="{8AB08987-DA5B-4A55-A60D-C82DC3B5C3C1}" presName="hierChild5" presStyleCnt="0"/>
      <dgm:spPr/>
    </dgm:pt>
    <dgm:pt modelId="{6E5C0784-E389-43B1-AB30-E259F28EC33A}" type="pres">
      <dgm:prSet presAssocID="{941C0B28-C421-4B38-86E9-D6AB046F7025}" presName="Name37" presStyleLbl="parChTrans1D3" presStyleIdx="3" presStyleCnt="16"/>
      <dgm:spPr/>
    </dgm:pt>
    <dgm:pt modelId="{75F838B6-25B4-4569-931E-FCB7592EA3BB}" type="pres">
      <dgm:prSet presAssocID="{88987A7E-583A-4948-9C73-22DAD7BCB6A2}" presName="hierRoot2" presStyleCnt="0">
        <dgm:presLayoutVars>
          <dgm:hierBranch val="init"/>
        </dgm:presLayoutVars>
      </dgm:prSet>
      <dgm:spPr/>
    </dgm:pt>
    <dgm:pt modelId="{B1C1C73D-32A0-4187-89E8-DB0B1E2356C5}" type="pres">
      <dgm:prSet presAssocID="{88987A7E-583A-4948-9C73-22DAD7BCB6A2}" presName="rootComposite" presStyleCnt="0"/>
      <dgm:spPr/>
    </dgm:pt>
    <dgm:pt modelId="{9A2459CC-7716-464B-82DE-1EBFC7B2C7EA}" type="pres">
      <dgm:prSet presAssocID="{88987A7E-583A-4948-9C73-22DAD7BCB6A2}" presName="rootText" presStyleLbl="node3" presStyleIdx="3" presStyleCnt="16">
        <dgm:presLayoutVars>
          <dgm:chPref val="3"/>
        </dgm:presLayoutVars>
      </dgm:prSet>
      <dgm:spPr/>
    </dgm:pt>
    <dgm:pt modelId="{B9A26854-A22D-443F-98BF-DD6C5429A343}" type="pres">
      <dgm:prSet presAssocID="{88987A7E-583A-4948-9C73-22DAD7BCB6A2}" presName="rootConnector" presStyleLbl="node3" presStyleIdx="3" presStyleCnt="16"/>
      <dgm:spPr/>
    </dgm:pt>
    <dgm:pt modelId="{296143D5-0008-4D6C-870C-18CEF08A1807}" type="pres">
      <dgm:prSet presAssocID="{88987A7E-583A-4948-9C73-22DAD7BCB6A2}" presName="hierChild4" presStyleCnt="0"/>
      <dgm:spPr/>
    </dgm:pt>
    <dgm:pt modelId="{9406B069-9AD9-46FA-973D-26AD60A256E0}" type="pres">
      <dgm:prSet presAssocID="{88987A7E-583A-4948-9C73-22DAD7BCB6A2}" presName="hierChild5" presStyleCnt="0"/>
      <dgm:spPr/>
    </dgm:pt>
    <dgm:pt modelId="{36E61972-8B99-4192-9B3A-DACB8318CBFA}" type="pres">
      <dgm:prSet presAssocID="{B20537DD-430F-49C7-9D35-8E566A0CB052}" presName="hierChild5" presStyleCnt="0"/>
      <dgm:spPr/>
    </dgm:pt>
    <dgm:pt modelId="{1A059B0E-187C-40AA-9692-720D127B2037}" type="pres">
      <dgm:prSet presAssocID="{4B1004BF-90B2-4A73-BF79-5D0799EB3F0F}" presName="Name37" presStyleLbl="parChTrans1D2" presStyleIdx="1" presStyleCnt="4"/>
      <dgm:spPr/>
    </dgm:pt>
    <dgm:pt modelId="{59642E98-CEF1-4617-892A-78122A064930}" type="pres">
      <dgm:prSet presAssocID="{FA5854D6-0145-4E84-A5D1-956867E789EC}" presName="hierRoot2" presStyleCnt="0">
        <dgm:presLayoutVars>
          <dgm:hierBranch val="init"/>
        </dgm:presLayoutVars>
      </dgm:prSet>
      <dgm:spPr/>
    </dgm:pt>
    <dgm:pt modelId="{3B81FB2C-DB52-4B39-9DA6-F53D9D24F2B1}" type="pres">
      <dgm:prSet presAssocID="{FA5854D6-0145-4E84-A5D1-956867E789EC}" presName="rootComposite" presStyleCnt="0"/>
      <dgm:spPr/>
    </dgm:pt>
    <dgm:pt modelId="{E197E1B3-7FF9-492B-A40F-51DBDFED7F49}" type="pres">
      <dgm:prSet presAssocID="{FA5854D6-0145-4E84-A5D1-956867E789EC}" presName="rootText" presStyleLbl="node2" presStyleIdx="1" presStyleCnt="4">
        <dgm:presLayoutVars>
          <dgm:chPref val="3"/>
        </dgm:presLayoutVars>
      </dgm:prSet>
      <dgm:spPr/>
    </dgm:pt>
    <dgm:pt modelId="{3E493652-E7F0-41F2-8680-48D126B9E3DD}" type="pres">
      <dgm:prSet presAssocID="{FA5854D6-0145-4E84-A5D1-956867E789EC}" presName="rootConnector" presStyleLbl="node2" presStyleIdx="1" presStyleCnt="4"/>
      <dgm:spPr/>
    </dgm:pt>
    <dgm:pt modelId="{82D33996-FA6E-400C-AF6C-9AF2AC25A56D}" type="pres">
      <dgm:prSet presAssocID="{FA5854D6-0145-4E84-A5D1-956867E789EC}" presName="hierChild4" presStyleCnt="0"/>
      <dgm:spPr/>
    </dgm:pt>
    <dgm:pt modelId="{E5D820FB-CD50-4905-AAFA-2F98914DA468}" type="pres">
      <dgm:prSet presAssocID="{38EB446D-DA0A-47BC-B74F-23EA8021CC43}" presName="Name37" presStyleLbl="parChTrans1D3" presStyleIdx="4" presStyleCnt="16"/>
      <dgm:spPr/>
    </dgm:pt>
    <dgm:pt modelId="{7294D0FD-B4F6-4538-9D53-EF9A7B1F19A7}" type="pres">
      <dgm:prSet presAssocID="{9BF6BBFE-FB28-4773-9DB2-774FD80F21FE}" presName="hierRoot2" presStyleCnt="0">
        <dgm:presLayoutVars>
          <dgm:hierBranch val="init"/>
        </dgm:presLayoutVars>
      </dgm:prSet>
      <dgm:spPr/>
    </dgm:pt>
    <dgm:pt modelId="{1663BEA2-191B-4C80-A631-504ED84A9649}" type="pres">
      <dgm:prSet presAssocID="{9BF6BBFE-FB28-4773-9DB2-774FD80F21FE}" presName="rootComposite" presStyleCnt="0"/>
      <dgm:spPr/>
    </dgm:pt>
    <dgm:pt modelId="{032ED4C9-C448-4DC8-868C-3A7A15C44E9D}" type="pres">
      <dgm:prSet presAssocID="{9BF6BBFE-FB28-4773-9DB2-774FD80F21FE}" presName="rootText" presStyleLbl="node3" presStyleIdx="4" presStyleCnt="16">
        <dgm:presLayoutVars>
          <dgm:chPref val="3"/>
        </dgm:presLayoutVars>
      </dgm:prSet>
      <dgm:spPr/>
    </dgm:pt>
    <dgm:pt modelId="{0D7C0865-4823-4482-84B8-EB0841EF7398}" type="pres">
      <dgm:prSet presAssocID="{9BF6BBFE-FB28-4773-9DB2-774FD80F21FE}" presName="rootConnector" presStyleLbl="node3" presStyleIdx="4" presStyleCnt="16"/>
      <dgm:spPr/>
    </dgm:pt>
    <dgm:pt modelId="{CF1D5A21-82FE-404B-9058-E004F2803501}" type="pres">
      <dgm:prSet presAssocID="{9BF6BBFE-FB28-4773-9DB2-774FD80F21FE}" presName="hierChild4" presStyleCnt="0"/>
      <dgm:spPr/>
    </dgm:pt>
    <dgm:pt modelId="{230DBE5D-3BBD-45C3-B304-B8BF051D0249}" type="pres">
      <dgm:prSet presAssocID="{9BF6BBFE-FB28-4773-9DB2-774FD80F21FE}" presName="hierChild5" presStyleCnt="0"/>
      <dgm:spPr/>
    </dgm:pt>
    <dgm:pt modelId="{E6E2200C-9028-4AC2-B69E-FA44630B37A0}" type="pres">
      <dgm:prSet presAssocID="{1B31F5D0-F663-41FF-A16D-4249D3D2C5D3}" presName="Name37" presStyleLbl="parChTrans1D3" presStyleIdx="5" presStyleCnt="16"/>
      <dgm:spPr/>
    </dgm:pt>
    <dgm:pt modelId="{09FAB9E5-05FE-475D-AA64-BF299E99CD57}" type="pres">
      <dgm:prSet presAssocID="{4184807F-37F9-4E32-8CD0-85EC6EADAE76}" presName="hierRoot2" presStyleCnt="0">
        <dgm:presLayoutVars>
          <dgm:hierBranch val="init"/>
        </dgm:presLayoutVars>
      </dgm:prSet>
      <dgm:spPr/>
    </dgm:pt>
    <dgm:pt modelId="{492F03F5-A556-4B96-A451-9DCD7B9B2343}" type="pres">
      <dgm:prSet presAssocID="{4184807F-37F9-4E32-8CD0-85EC6EADAE76}" presName="rootComposite" presStyleCnt="0"/>
      <dgm:spPr/>
    </dgm:pt>
    <dgm:pt modelId="{68961B14-92A4-404E-8650-E5A0F441E14D}" type="pres">
      <dgm:prSet presAssocID="{4184807F-37F9-4E32-8CD0-85EC6EADAE76}" presName="rootText" presStyleLbl="node3" presStyleIdx="5" presStyleCnt="16">
        <dgm:presLayoutVars>
          <dgm:chPref val="3"/>
        </dgm:presLayoutVars>
      </dgm:prSet>
      <dgm:spPr/>
    </dgm:pt>
    <dgm:pt modelId="{1645C6C0-A663-4127-A424-7D8880850C03}" type="pres">
      <dgm:prSet presAssocID="{4184807F-37F9-4E32-8CD0-85EC6EADAE76}" presName="rootConnector" presStyleLbl="node3" presStyleIdx="5" presStyleCnt="16"/>
      <dgm:spPr/>
    </dgm:pt>
    <dgm:pt modelId="{F91D2A77-134E-4072-8341-681042B8CDA3}" type="pres">
      <dgm:prSet presAssocID="{4184807F-37F9-4E32-8CD0-85EC6EADAE76}" presName="hierChild4" presStyleCnt="0"/>
      <dgm:spPr/>
    </dgm:pt>
    <dgm:pt modelId="{0B0FD693-61B3-4542-A7B1-53C6D7A49291}" type="pres">
      <dgm:prSet presAssocID="{4184807F-37F9-4E32-8CD0-85EC6EADAE76}" presName="hierChild5" presStyleCnt="0"/>
      <dgm:spPr/>
    </dgm:pt>
    <dgm:pt modelId="{3909E97F-BA02-4398-853F-F04F182CC5A7}" type="pres">
      <dgm:prSet presAssocID="{5B8BCEC9-4740-4328-972F-A739AB1B116D}" presName="Name37" presStyleLbl="parChTrans1D3" presStyleIdx="6" presStyleCnt="16"/>
      <dgm:spPr/>
    </dgm:pt>
    <dgm:pt modelId="{134D6030-CF25-4909-B8BA-726B4736D513}" type="pres">
      <dgm:prSet presAssocID="{DEAE21FB-8AF6-4072-A2CB-50965012D06E}" presName="hierRoot2" presStyleCnt="0">
        <dgm:presLayoutVars>
          <dgm:hierBranch val="init"/>
        </dgm:presLayoutVars>
      </dgm:prSet>
      <dgm:spPr/>
    </dgm:pt>
    <dgm:pt modelId="{FA023B7A-53C7-4CED-8E96-3A81624DA75F}" type="pres">
      <dgm:prSet presAssocID="{DEAE21FB-8AF6-4072-A2CB-50965012D06E}" presName="rootComposite" presStyleCnt="0"/>
      <dgm:spPr/>
    </dgm:pt>
    <dgm:pt modelId="{73CB3A6C-EABA-4625-AD4A-2817737D6ECE}" type="pres">
      <dgm:prSet presAssocID="{DEAE21FB-8AF6-4072-A2CB-50965012D06E}" presName="rootText" presStyleLbl="node3" presStyleIdx="6" presStyleCnt="16">
        <dgm:presLayoutVars>
          <dgm:chPref val="3"/>
        </dgm:presLayoutVars>
      </dgm:prSet>
      <dgm:spPr/>
    </dgm:pt>
    <dgm:pt modelId="{836751CC-BB4C-4270-B19B-84AB1BE7017F}" type="pres">
      <dgm:prSet presAssocID="{DEAE21FB-8AF6-4072-A2CB-50965012D06E}" presName="rootConnector" presStyleLbl="node3" presStyleIdx="6" presStyleCnt="16"/>
      <dgm:spPr/>
    </dgm:pt>
    <dgm:pt modelId="{7AACD2BB-73EB-407D-A66B-DF3405C4BC62}" type="pres">
      <dgm:prSet presAssocID="{DEAE21FB-8AF6-4072-A2CB-50965012D06E}" presName="hierChild4" presStyleCnt="0"/>
      <dgm:spPr/>
    </dgm:pt>
    <dgm:pt modelId="{381DCE33-B920-4711-83DB-EA67ED719427}" type="pres">
      <dgm:prSet presAssocID="{DEAE21FB-8AF6-4072-A2CB-50965012D06E}" presName="hierChild5" presStyleCnt="0"/>
      <dgm:spPr/>
    </dgm:pt>
    <dgm:pt modelId="{4580C153-3308-43AA-A95A-F40FDA8AE94F}" type="pres">
      <dgm:prSet presAssocID="{94CF4B86-9844-45B8-A309-C7270FA215FA}" presName="Name37" presStyleLbl="parChTrans1D3" presStyleIdx="7" presStyleCnt="16"/>
      <dgm:spPr/>
    </dgm:pt>
    <dgm:pt modelId="{D8A04D0D-FFD1-4D24-9D25-B1FF9CB2D0A7}" type="pres">
      <dgm:prSet presAssocID="{7546F05E-8CFE-4EDB-BACC-30D5B39A7E52}" presName="hierRoot2" presStyleCnt="0">
        <dgm:presLayoutVars>
          <dgm:hierBranch val="init"/>
        </dgm:presLayoutVars>
      </dgm:prSet>
      <dgm:spPr/>
    </dgm:pt>
    <dgm:pt modelId="{3488D0E5-C4A7-4D60-B16A-5679AC306EEE}" type="pres">
      <dgm:prSet presAssocID="{7546F05E-8CFE-4EDB-BACC-30D5B39A7E52}" presName="rootComposite" presStyleCnt="0"/>
      <dgm:spPr/>
    </dgm:pt>
    <dgm:pt modelId="{F86B31EE-D12D-46D3-9475-AB9159094778}" type="pres">
      <dgm:prSet presAssocID="{7546F05E-8CFE-4EDB-BACC-30D5B39A7E52}" presName="rootText" presStyleLbl="node3" presStyleIdx="7" presStyleCnt="16">
        <dgm:presLayoutVars>
          <dgm:chPref val="3"/>
        </dgm:presLayoutVars>
      </dgm:prSet>
      <dgm:spPr/>
    </dgm:pt>
    <dgm:pt modelId="{3F4C71DD-B1C9-4AEF-9E08-7141800238D9}" type="pres">
      <dgm:prSet presAssocID="{7546F05E-8CFE-4EDB-BACC-30D5B39A7E52}" presName="rootConnector" presStyleLbl="node3" presStyleIdx="7" presStyleCnt="16"/>
      <dgm:spPr/>
    </dgm:pt>
    <dgm:pt modelId="{2CB2B974-4BA4-48E0-B74C-B02ABD7F9396}" type="pres">
      <dgm:prSet presAssocID="{7546F05E-8CFE-4EDB-BACC-30D5B39A7E52}" presName="hierChild4" presStyleCnt="0"/>
      <dgm:spPr/>
    </dgm:pt>
    <dgm:pt modelId="{8AEB67E5-759A-4987-808C-C21704B87D4E}" type="pres">
      <dgm:prSet presAssocID="{7546F05E-8CFE-4EDB-BACC-30D5B39A7E52}" presName="hierChild5" presStyleCnt="0"/>
      <dgm:spPr/>
    </dgm:pt>
    <dgm:pt modelId="{1FDFDE3C-8C35-4215-927E-6766DF7EEE63}" type="pres">
      <dgm:prSet presAssocID="{FA5854D6-0145-4E84-A5D1-956867E789EC}" presName="hierChild5" presStyleCnt="0"/>
      <dgm:spPr/>
    </dgm:pt>
    <dgm:pt modelId="{13925C28-01EF-4800-BAC6-2CA741D22CEB}" type="pres">
      <dgm:prSet presAssocID="{26E84976-E2C0-4791-80F6-A9CF602D9D4C}" presName="Name37" presStyleLbl="parChTrans1D2" presStyleIdx="2" presStyleCnt="4"/>
      <dgm:spPr/>
    </dgm:pt>
    <dgm:pt modelId="{C518301C-5C46-46A4-8C12-1EDA1663D9C8}" type="pres">
      <dgm:prSet presAssocID="{BCF5286B-88ED-4013-B1D2-E14C43822EAF}" presName="hierRoot2" presStyleCnt="0">
        <dgm:presLayoutVars>
          <dgm:hierBranch val="init"/>
        </dgm:presLayoutVars>
      </dgm:prSet>
      <dgm:spPr/>
    </dgm:pt>
    <dgm:pt modelId="{32562892-AC32-46BE-88B5-4E83A8FCC996}" type="pres">
      <dgm:prSet presAssocID="{BCF5286B-88ED-4013-B1D2-E14C43822EAF}" presName="rootComposite" presStyleCnt="0"/>
      <dgm:spPr/>
    </dgm:pt>
    <dgm:pt modelId="{6B78265A-4C2D-4182-B68E-85225AFA0E69}" type="pres">
      <dgm:prSet presAssocID="{BCF5286B-88ED-4013-B1D2-E14C43822EAF}" presName="rootText" presStyleLbl="node2" presStyleIdx="2" presStyleCnt="4">
        <dgm:presLayoutVars>
          <dgm:chPref val="3"/>
        </dgm:presLayoutVars>
      </dgm:prSet>
      <dgm:spPr/>
    </dgm:pt>
    <dgm:pt modelId="{D8213F09-3495-4000-BEC6-5F96D1DEEF03}" type="pres">
      <dgm:prSet presAssocID="{BCF5286B-88ED-4013-B1D2-E14C43822EAF}" presName="rootConnector" presStyleLbl="node2" presStyleIdx="2" presStyleCnt="4"/>
      <dgm:spPr/>
    </dgm:pt>
    <dgm:pt modelId="{EAB0808F-843C-4908-B890-05B0FA0F6590}" type="pres">
      <dgm:prSet presAssocID="{BCF5286B-88ED-4013-B1D2-E14C43822EAF}" presName="hierChild4" presStyleCnt="0"/>
      <dgm:spPr/>
    </dgm:pt>
    <dgm:pt modelId="{29AB2845-8213-49A2-9AAF-354BC5B0F7F1}" type="pres">
      <dgm:prSet presAssocID="{F551BD65-11BD-45A7-8911-786824B9F380}" presName="Name37" presStyleLbl="parChTrans1D3" presStyleIdx="8" presStyleCnt="16"/>
      <dgm:spPr/>
    </dgm:pt>
    <dgm:pt modelId="{347C537C-968F-4E15-8966-ECAC5EF5CEB9}" type="pres">
      <dgm:prSet presAssocID="{A37E731A-3144-4395-B9B1-15C49B54ABF8}" presName="hierRoot2" presStyleCnt="0">
        <dgm:presLayoutVars>
          <dgm:hierBranch val="init"/>
        </dgm:presLayoutVars>
      </dgm:prSet>
      <dgm:spPr/>
    </dgm:pt>
    <dgm:pt modelId="{6A039687-4B4B-44C7-9811-D6CB5C6B70CD}" type="pres">
      <dgm:prSet presAssocID="{A37E731A-3144-4395-B9B1-15C49B54ABF8}" presName="rootComposite" presStyleCnt="0"/>
      <dgm:spPr/>
    </dgm:pt>
    <dgm:pt modelId="{B4D4465B-3E55-45B8-B264-10EA1ED4A750}" type="pres">
      <dgm:prSet presAssocID="{A37E731A-3144-4395-B9B1-15C49B54ABF8}" presName="rootText" presStyleLbl="node3" presStyleIdx="8" presStyleCnt="16">
        <dgm:presLayoutVars>
          <dgm:chPref val="3"/>
        </dgm:presLayoutVars>
      </dgm:prSet>
      <dgm:spPr/>
    </dgm:pt>
    <dgm:pt modelId="{69BC036F-0959-4593-B49B-AE42499DE41C}" type="pres">
      <dgm:prSet presAssocID="{A37E731A-3144-4395-B9B1-15C49B54ABF8}" presName="rootConnector" presStyleLbl="node3" presStyleIdx="8" presStyleCnt="16"/>
      <dgm:spPr/>
    </dgm:pt>
    <dgm:pt modelId="{DCEC6F49-9908-4278-98C9-DF3D506B8D09}" type="pres">
      <dgm:prSet presAssocID="{A37E731A-3144-4395-B9B1-15C49B54ABF8}" presName="hierChild4" presStyleCnt="0"/>
      <dgm:spPr/>
    </dgm:pt>
    <dgm:pt modelId="{21377A44-5889-409E-A711-E74797FA0883}" type="pres">
      <dgm:prSet presAssocID="{A37E731A-3144-4395-B9B1-15C49B54ABF8}" presName="hierChild5" presStyleCnt="0"/>
      <dgm:spPr/>
    </dgm:pt>
    <dgm:pt modelId="{181B60D1-A79E-4B47-BE9E-E2EDA5EAA73D}" type="pres">
      <dgm:prSet presAssocID="{06F33928-FD70-4C8B-9B1B-4C102D5DB5DA}" presName="Name37" presStyleLbl="parChTrans1D3" presStyleIdx="9" presStyleCnt="16"/>
      <dgm:spPr/>
    </dgm:pt>
    <dgm:pt modelId="{178E15EB-50E3-4A14-81A8-306141079CBC}" type="pres">
      <dgm:prSet presAssocID="{4D2B5B5D-0307-405D-ACEA-021FF5640DFB}" presName="hierRoot2" presStyleCnt="0">
        <dgm:presLayoutVars>
          <dgm:hierBranch val="init"/>
        </dgm:presLayoutVars>
      </dgm:prSet>
      <dgm:spPr/>
    </dgm:pt>
    <dgm:pt modelId="{F6EB1255-44A0-44F0-AF49-E673637E6410}" type="pres">
      <dgm:prSet presAssocID="{4D2B5B5D-0307-405D-ACEA-021FF5640DFB}" presName="rootComposite" presStyleCnt="0"/>
      <dgm:spPr/>
    </dgm:pt>
    <dgm:pt modelId="{08652B69-3DB3-4A2B-8740-E58099FB2B53}" type="pres">
      <dgm:prSet presAssocID="{4D2B5B5D-0307-405D-ACEA-021FF5640DFB}" presName="rootText" presStyleLbl="node3" presStyleIdx="9" presStyleCnt="16">
        <dgm:presLayoutVars>
          <dgm:chPref val="3"/>
        </dgm:presLayoutVars>
      </dgm:prSet>
      <dgm:spPr/>
    </dgm:pt>
    <dgm:pt modelId="{D3EA9B3E-1CFD-4FFD-A641-50A5B431C5FF}" type="pres">
      <dgm:prSet presAssocID="{4D2B5B5D-0307-405D-ACEA-021FF5640DFB}" presName="rootConnector" presStyleLbl="node3" presStyleIdx="9" presStyleCnt="16"/>
      <dgm:spPr/>
    </dgm:pt>
    <dgm:pt modelId="{1F4D6A77-14E6-40B9-A678-C58420EC560C}" type="pres">
      <dgm:prSet presAssocID="{4D2B5B5D-0307-405D-ACEA-021FF5640DFB}" presName="hierChild4" presStyleCnt="0"/>
      <dgm:spPr/>
    </dgm:pt>
    <dgm:pt modelId="{012E6DEA-37B7-4AF7-9B2D-AC8109D084D4}" type="pres">
      <dgm:prSet presAssocID="{4D2B5B5D-0307-405D-ACEA-021FF5640DFB}" presName="hierChild5" presStyleCnt="0"/>
      <dgm:spPr/>
    </dgm:pt>
    <dgm:pt modelId="{936F2113-6945-40BA-A6AA-6BE311C325DA}" type="pres">
      <dgm:prSet presAssocID="{89681F33-65CB-407F-9541-68327A1A6F2D}" presName="Name37" presStyleLbl="parChTrans1D3" presStyleIdx="10" presStyleCnt="16"/>
      <dgm:spPr/>
    </dgm:pt>
    <dgm:pt modelId="{74F6CE0A-76D2-46F2-B445-2A5AE72CB755}" type="pres">
      <dgm:prSet presAssocID="{94041896-B8DF-4FBB-9F19-6778459FFFC7}" presName="hierRoot2" presStyleCnt="0">
        <dgm:presLayoutVars>
          <dgm:hierBranch val="init"/>
        </dgm:presLayoutVars>
      </dgm:prSet>
      <dgm:spPr/>
    </dgm:pt>
    <dgm:pt modelId="{092DACA1-9CDE-4679-BAF6-7874FAD9E0E2}" type="pres">
      <dgm:prSet presAssocID="{94041896-B8DF-4FBB-9F19-6778459FFFC7}" presName="rootComposite" presStyleCnt="0"/>
      <dgm:spPr/>
    </dgm:pt>
    <dgm:pt modelId="{AAACCAB2-9348-41FB-8B28-A2932D1B43CB}" type="pres">
      <dgm:prSet presAssocID="{94041896-B8DF-4FBB-9F19-6778459FFFC7}" presName="rootText" presStyleLbl="node3" presStyleIdx="10" presStyleCnt="16">
        <dgm:presLayoutVars>
          <dgm:chPref val="3"/>
        </dgm:presLayoutVars>
      </dgm:prSet>
      <dgm:spPr/>
    </dgm:pt>
    <dgm:pt modelId="{6F31DA76-0C91-4F6C-BFF4-971AFC725154}" type="pres">
      <dgm:prSet presAssocID="{94041896-B8DF-4FBB-9F19-6778459FFFC7}" presName="rootConnector" presStyleLbl="node3" presStyleIdx="10" presStyleCnt="16"/>
      <dgm:spPr/>
    </dgm:pt>
    <dgm:pt modelId="{1337683D-209E-4C19-ADD6-7BF8DDCE278C}" type="pres">
      <dgm:prSet presAssocID="{94041896-B8DF-4FBB-9F19-6778459FFFC7}" presName="hierChild4" presStyleCnt="0"/>
      <dgm:spPr/>
    </dgm:pt>
    <dgm:pt modelId="{4F2FFECE-7C49-4D31-AD28-062411362958}" type="pres">
      <dgm:prSet presAssocID="{94041896-B8DF-4FBB-9F19-6778459FFFC7}" presName="hierChild5" presStyleCnt="0"/>
      <dgm:spPr/>
    </dgm:pt>
    <dgm:pt modelId="{66C96CE0-F535-426F-B82D-668685FF6CEF}" type="pres">
      <dgm:prSet presAssocID="{3A15363A-2211-4304-A9A1-E5C504C8BB00}" presName="Name37" presStyleLbl="parChTrans1D3" presStyleIdx="11" presStyleCnt="16"/>
      <dgm:spPr/>
    </dgm:pt>
    <dgm:pt modelId="{EAC98554-A37D-48F6-9FB5-C05A97D40685}" type="pres">
      <dgm:prSet presAssocID="{7D60F1DB-FA73-4C0E-9EE6-A8F246AB75C6}" presName="hierRoot2" presStyleCnt="0">
        <dgm:presLayoutVars>
          <dgm:hierBranch val="init"/>
        </dgm:presLayoutVars>
      </dgm:prSet>
      <dgm:spPr/>
    </dgm:pt>
    <dgm:pt modelId="{2B49CF33-F14B-42D0-A2C1-82E8ECDBF7C6}" type="pres">
      <dgm:prSet presAssocID="{7D60F1DB-FA73-4C0E-9EE6-A8F246AB75C6}" presName="rootComposite" presStyleCnt="0"/>
      <dgm:spPr/>
    </dgm:pt>
    <dgm:pt modelId="{49F1E49D-DA6C-4961-964B-421EAA941A77}" type="pres">
      <dgm:prSet presAssocID="{7D60F1DB-FA73-4C0E-9EE6-A8F246AB75C6}" presName="rootText" presStyleLbl="node3" presStyleIdx="11" presStyleCnt="16">
        <dgm:presLayoutVars>
          <dgm:chPref val="3"/>
        </dgm:presLayoutVars>
      </dgm:prSet>
      <dgm:spPr/>
    </dgm:pt>
    <dgm:pt modelId="{DCD1EA2D-4A3D-42CC-A635-D4520371CF88}" type="pres">
      <dgm:prSet presAssocID="{7D60F1DB-FA73-4C0E-9EE6-A8F246AB75C6}" presName="rootConnector" presStyleLbl="node3" presStyleIdx="11" presStyleCnt="16"/>
      <dgm:spPr/>
    </dgm:pt>
    <dgm:pt modelId="{EF647A24-10CD-408D-9F04-ED6F3CEEFCE2}" type="pres">
      <dgm:prSet presAssocID="{7D60F1DB-FA73-4C0E-9EE6-A8F246AB75C6}" presName="hierChild4" presStyleCnt="0"/>
      <dgm:spPr/>
    </dgm:pt>
    <dgm:pt modelId="{F82DC572-4D39-4474-8882-11B1B0F6B498}" type="pres">
      <dgm:prSet presAssocID="{7D60F1DB-FA73-4C0E-9EE6-A8F246AB75C6}" presName="hierChild5" presStyleCnt="0"/>
      <dgm:spPr/>
    </dgm:pt>
    <dgm:pt modelId="{F1B5D366-030C-46E2-94EA-07F970C81234}" type="pres">
      <dgm:prSet presAssocID="{BCF5286B-88ED-4013-B1D2-E14C43822EAF}" presName="hierChild5" presStyleCnt="0"/>
      <dgm:spPr/>
    </dgm:pt>
    <dgm:pt modelId="{5DAFC08D-9F0E-49AC-89BA-3A86FF754BDB}" type="pres">
      <dgm:prSet presAssocID="{9EF91342-D8C3-4F20-9FFD-86CC9146A009}" presName="Name37" presStyleLbl="parChTrans1D2" presStyleIdx="3" presStyleCnt="4"/>
      <dgm:spPr/>
    </dgm:pt>
    <dgm:pt modelId="{C3DB928F-2F27-4B73-A2B6-AEA5690E28FB}" type="pres">
      <dgm:prSet presAssocID="{DF282D31-BEDC-44F2-9304-FCFEC92F85A9}" presName="hierRoot2" presStyleCnt="0">
        <dgm:presLayoutVars>
          <dgm:hierBranch val="init"/>
        </dgm:presLayoutVars>
      </dgm:prSet>
      <dgm:spPr/>
    </dgm:pt>
    <dgm:pt modelId="{E9C0D3CA-1419-42C1-B237-6EFF3AA997D0}" type="pres">
      <dgm:prSet presAssocID="{DF282D31-BEDC-44F2-9304-FCFEC92F85A9}" presName="rootComposite" presStyleCnt="0"/>
      <dgm:spPr/>
    </dgm:pt>
    <dgm:pt modelId="{5DBB2326-1BA8-4D38-8CB1-A45E9A7D455E}" type="pres">
      <dgm:prSet presAssocID="{DF282D31-BEDC-44F2-9304-FCFEC92F85A9}" presName="rootText" presStyleLbl="node2" presStyleIdx="3" presStyleCnt="4">
        <dgm:presLayoutVars>
          <dgm:chPref val="3"/>
        </dgm:presLayoutVars>
      </dgm:prSet>
      <dgm:spPr/>
    </dgm:pt>
    <dgm:pt modelId="{B91FA4A5-1B65-4C3D-B970-7FE3CC468ABC}" type="pres">
      <dgm:prSet presAssocID="{DF282D31-BEDC-44F2-9304-FCFEC92F85A9}" presName="rootConnector" presStyleLbl="node2" presStyleIdx="3" presStyleCnt="4"/>
      <dgm:spPr/>
    </dgm:pt>
    <dgm:pt modelId="{4E66763C-6FAC-48BF-A8E3-B33F046D3EE2}" type="pres">
      <dgm:prSet presAssocID="{DF282D31-BEDC-44F2-9304-FCFEC92F85A9}" presName="hierChild4" presStyleCnt="0"/>
      <dgm:spPr/>
    </dgm:pt>
    <dgm:pt modelId="{246C8145-4D59-4CC9-A343-C87D1E5C958C}" type="pres">
      <dgm:prSet presAssocID="{31F55AC9-CB09-495E-833E-75ABBD505B74}" presName="Name37" presStyleLbl="parChTrans1D3" presStyleIdx="12" presStyleCnt="16"/>
      <dgm:spPr/>
    </dgm:pt>
    <dgm:pt modelId="{4811C8B0-BC5A-4E3F-8090-3BC3F182810B}" type="pres">
      <dgm:prSet presAssocID="{8F8C0F81-CFB9-4476-8299-DBEEFC355C11}" presName="hierRoot2" presStyleCnt="0">
        <dgm:presLayoutVars>
          <dgm:hierBranch val="init"/>
        </dgm:presLayoutVars>
      </dgm:prSet>
      <dgm:spPr/>
    </dgm:pt>
    <dgm:pt modelId="{0F25AEB0-8C49-4C5A-BD6C-929BBAD3D246}" type="pres">
      <dgm:prSet presAssocID="{8F8C0F81-CFB9-4476-8299-DBEEFC355C11}" presName="rootComposite" presStyleCnt="0"/>
      <dgm:spPr/>
    </dgm:pt>
    <dgm:pt modelId="{461633F5-DF01-486A-B3F0-7ECF920DDE35}" type="pres">
      <dgm:prSet presAssocID="{8F8C0F81-CFB9-4476-8299-DBEEFC355C11}" presName="rootText" presStyleLbl="node3" presStyleIdx="12" presStyleCnt="16">
        <dgm:presLayoutVars>
          <dgm:chPref val="3"/>
        </dgm:presLayoutVars>
      </dgm:prSet>
      <dgm:spPr/>
    </dgm:pt>
    <dgm:pt modelId="{F6DDCD87-8447-43CE-B4BC-9BC60CD9356A}" type="pres">
      <dgm:prSet presAssocID="{8F8C0F81-CFB9-4476-8299-DBEEFC355C11}" presName="rootConnector" presStyleLbl="node3" presStyleIdx="12" presStyleCnt="16"/>
      <dgm:spPr/>
    </dgm:pt>
    <dgm:pt modelId="{BAF8D324-4E4D-496D-B09E-C7D7A6554652}" type="pres">
      <dgm:prSet presAssocID="{8F8C0F81-CFB9-4476-8299-DBEEFC355C11}" presName="hierChild4" presStyleCnt="0"/>
      <dgm:spPr/>
    </dgm:pt>
    <dgm:pt modelId="{51E27EA7-511B-4328-A7ED-5D603C69F34C}" type="pres">
      <dgm:prSet presAssocID="{8F8C0F81-CFB9-4476-8299-DBEEFC355C11}" presName="hierChild5" presStyleCnt="0"/>
      <dgm:spPr/>
    </dgm:pt>
    <dgm:pt modelId="{78F2C3E9-8679-4FE1-8FD5-CE5F5755BC6D}" type="pres">
      <dgm:prSet presAssocID="{5A6BCDC7-1D64-4DE0-95FB-58EBD451BBEA}" presName="Name37" presStyleLbl="parChTrans1D3" presStyleIdx="13" presStyleCnt="16"/>
      <dgm:spPr/>
    </dgm:pt>
    <dgm:pt modelId="{A8F87671-6064-4BFA-AF69-4E42C383193D}" type="pres">
      <dgm:prSet presAssocID="{D6C87F09-F028-4F02-9513-F1B8104B9743}" presName="hierRoot2" presStyleCnt="0">
        <dgm:presLayoutVars>
          <dgm:hierBranch val="init"/>
        </dgm:presLayoutVars>
      </dgm:prSet>
      <dgm:spPr/>
    </dgm:pt>
    <dgm:pt modelId="{625071F6-FB7A-4B84-87AA-687A0A010C24}" type="pres">
      <dgm:prSet presAssocID="{D6C87F09-F028-4F02-9513-F1B8104B9743}" presName="rootComposite" presStyleCnt="0"/>
      <dgm:spPr/>
    </dgm:pt>
    <dgm:pt modelId="{C3D7ACC5-BFD3-4EB8-BFEB-80F5325E39DD}" type="pres">
      <dgm:prSet presAssocID="{D6C87F09-F028-4F02-9513-F1B8104B9743}" presName="rootText" presStyleLbl="node3" presStyleIdx="13" presStyleCnt="16">
        <dgm:presLayoutVars>
          <dgm:chPref val="3"/>
        </dgm:presLayoutVars>
      </dgm:prSet>
      <dgm:spPr/>
    </dgm:pt>
    <dgm:pt modelId="{5C1B1C09-7C44-4360-9F5D-FDC4AF4BFBAD}" type="pres">
      <dgm:prSet presAssocID="{D6C87F09-F028-4F02-9513-F1B8104B9743}" presName="rootConnector" presStyleLbl="node3" presStyleIdx="13" presStyleCnt="16"/>
      <dgm:spPr/>
    </dgm:pt>
    <dgm:pt modelId="{FA66C3FB-E913-4516-B309-CA2E9982DC6B}" type="pres">
      <dgm:prSet presAssocID="{D6C87F09-F028-4F02-9513-F1B8104B9743}" presName="hierChild4" presStyleCnt="0"/>
      <dgm:spPr/>
    </dgm:pt>
    <dgm:pt modelId="{2A048B5E-681C-43E0-ABDA-FD4802453CA9}" type="pres">
      <dgm:prSet presAssocID="{D6C87F09-F028-4F02-9513-F1B8104B9743}" presName="hierChild5" presStyleCnt="0"/>
      <dgm:spPr/>
    </dgm:pt>
    <dgm:pt modelId="{A7C1AF7D-135F-45C3-A828-492837533D4D}" type="pres">
      <dgm:prSet presAssocID="{1128603D-B806-4DAC-A66B-EC5EFFD5042A}" presName="Name37" presStyleLbl="parChTrans1D3" presStyleIdx="14" presStyleCnt="16"/>
      <dgm:spPr/>
    </dgm:pt>
    <dgm:pt modelId="{7BA9EC27-EB03-4A2E-AD50-4AD4C88C2080}" type="pres">
      <dgm:prSet presAssocID="{659C7450-ED1F-49DC-969C-B6BD868F9713}" presName="hierRoot2" presStyleCnt="0">
        <dgm:presLayoutVars>
          <dgm:hierBranch val="init"/>
        </dgm:presLayoutVars>
      </dgm:prSet>
      <dgm:spPr/>
    </dgm:pt>
    <dgm:pt modelId="{F014357C-38EA-48E3-8CB1-A351C85164D9}" type="pres">
      <dgm:prSet presAssocID="{659C7450-ED1F-49DC-969C-B6BD868F9713}" presName="rootComposite" presStyleCnt="0"/>
      <dgm:spPr/>
    </dgm:pt>
    <dgm:pt modelId="{C81BB5D4-8E88-4DD7-B5D8-7784BAD2AE2F}" type="pres">
      <dgm:prSet presAssocID="{659C7450-ED1F-49DC-969C-B6BD868F9713}" presName="rootText" presStyleLbl="node3" presStyleIdx="14" presStyleCnt="16">
        <dgm:presLayoutVars>
          <dgm:chPref val="3"/>
        </dgm:presLayoutVars>
      </dgm:prSet>
      <dgm:spPr/>
    </dgm:pt>
    <dgm:pt modelId="{3978B76D-D79F-468E-B7E0-C2C42238DFCF}" type="pres">
      <dgm:prSet presAssocID="{659C7450-ED1F-49DC-969C-B6BD868F9713}" presName="rootConnector" presStyleLbl="node3" presStyleIdx="14" presStyleCnt="16"/>
      <dgm:spPr/>
    </dgm:pt>
    <dgm:pt modelId="{74CB88AD-5C7C-4E9C-9A05-05E39DEA00A4}" type="pres">
      <dgm:prSet presAssocID="{659C7450-ED1F-49DC-969C-B6BD868F9713}" presName="hierChild4" presStyleCnt="0"/>
      <dgm:spPr/>
    </dgm:pt>
    <dgm:pt modelId="{518E9D0A-B480-41F4-8AAA-BDAB71CB8F34}" type="pres">
      <dgm:prSet presAssocID="{659C7450-ED1F-49DC-969C-B6BD868F9713}" presName="hierChild5" presStyleCnt="0"/>
      <dgm:spPr/>
    </dgm:pt>
    <dgm:pt modelId="{499836E8-CED6-4409-B34D-FEBC362C8EE0}" type="pres">
      <dgm:prSet presAssocID="{4E7452F9-084B-46D0-A934-ED92562A6A0F}" presName="Name37" presStyleLbl="parChTrans1D3" presStyleIdx="15" presStyleCnt="16"/>
      <dgm:spPr/>
    </dgm:pt>
    <dgm:pt modelId="{018D9A16-B8CF-45FD-82E4-B40B55647DBB}" type="pres">
      <dgm:prSet presAssocID="{36BD4972-E8CB-42AD-9FCD-473367B48339}" presName="hierRoot2" presStyleCnt="0">
        <dgm:presLayoutVars>
          <dgm:hierBranch val="init"/>
        </dgm:presLayoutVars>
      </dgm:prSet>
      <dgm:spPr/>
    </dgm:pt>
    <dgm:pt modelId="{2D1D5C96-B2F3-4689-9D5B-2663E62D280A}" type="pres">
      <dgm:prSet presAssocID="{36BD4972-E8CB-42AD-9FCD-473367B48339}" presName="rootComposite" presStyleCnt="0"/>
      <dgm:spPr/>
    </dgm:pt>
    <dgm:pt modelId="{D1494CE5-795D-4391-84F8-3D2BFFBB744C}" type="pres">
      <dgm:prSet presAssocID="{36BD4972-E8CB-42AD-9FCD-473367B48339}" presName="rootText" presStyleLbl="node3" presStyleIdx="15" presStyleCnt="16">
        <dgm:presLayoutVars>
          <dgm:chPref val="3"/>
        </dgm:presLayoutVars>
      </dgm:prSet>
      <dgm:spPr/>
    </dgm:pt>
    <dgm:pt modelId="{21E83676-75B2-4F1D-A229-F9C0AE0C14D5}" type="pres">
      <dgm:prSet presAssocID="{36BD4972-E8CB-42AD-9FCD-473367B48339}" presName="rootConnector" presStyleLbl="node3" presStyleIdx="15" presStyleCnt="16"/>
      <dgm:spPr/>
    </dgm:pt>
    <dgm:pt modelId="{2642E6A4-74F2-43A2-BEF2-D09F4D276FC9}" type="pres">
      <dgm:prSet presAssocID="{36BD4972-E8CB-42AD-9FCD-473367B48339}" presName="hierChild4" presStyleCnt="0"/>
      <dgm:spPr/>
    </dgm:pt>
    <dgm:pt modelId="{394777FD-175B-41A7-92D2-E18C472A05F8}" type="pres">
      <dgm:prSet presAssocID="{36BD4972-E8CB-42AD-9FCD-473367B48339}" presName="hierChild5" presStyleCnt="0"/>
      <dgm:spPr/>
    </dgm:pt>
    <dgm:pt modelId="{5F0313C0-1E00-4BFA-982F-B7E20B048517}" type="pres">
      <dgm:prSet presAssocID="{DF282D31-BEDC-44F2-9304-FCFEC92F85A9}" presName="hierChild5" presStyleCnt="0"/>
      <dgm:spPr/>
    </dgm:pt>
    <dgm:pt modelId="{E437E4A7-556E-41A0-8BE4-FAF3593D969E}" type="pres">
      <dgm:prSet presAssocID="{F752BF74-8F9F-45C2-95EA-D15ADC39F4F2}" presName="hierChild3" presStyleCnt="0"/>
      <dgm:spPr/>
    </dgm:pt>
  </dgm:ptLst>
  <dgm:cxnLst>
    <dgm:cxn modelId="{E7E9C200-7624-4C07-934F-F9B6CE5E3E9A}" type="presOf" srcId="{A37E731A-3144-4395-B9B1-15C49B54ABF8}" destId="{B4D4465B-3E55-45B8-B264-10EA1ED4A750}" srcOrd="0" destOrd="0" presId="urn:microsoft.com/office/officeart/2005/8/layout/orgChart1"/>
    <dgm:cxn modelId="{B6D73001-F18F-40DA-A7F1-F8333DD5A340}" type="presOf" srcId="{E850F42E-5154-4597-9E5B-5A1DFCC5F318}" destId="{A7A2F164-E0A0-4147-AFC4-E2EFF790B2B8}" srcOrd="1" destOrd="0" presId="urn:microsoft.com/office/officeart/2005/8/layout/orgChart1"/>
    <dgm:cxn modelId="{6ACBD106-4A0B-41DD-AAA2-6351CC8C799D}" type="presOf" srcId="{B20537DD-430F-49C7-9D35-8E566A0CB052}" destId="{1D83AA4C-4771-4F46-83CC-83B9F65F8206}" srcOrd="1" destOrd="0" presId="urn:microsoft.com/office/officeart/2005/8/layout/orgChart1"/>
    <dgm:cxn modelId="{BD833B07-CB65-48F4-96F3-BCC5749EE244}" type="presOf" srcId="{41C85F56-B930-4C23-A718-02BD9417750D}" destId="{584DD668-205E-41DF-93AD-016F262043DC}" srcOrd="0" destOrd="0" presId="urn:microsoft.com/office/officeart/2005/8/layout/orgChart1"/>
    <dgm:cxn modelId="{44CD5308-B55E-45B6-B66C-37824F09BF29}" type="presOf" srcId="{7D60F1DB-FA73-4C0E-9EE6-A8F246AB75C6}" destId="{DCD1EA2D-4A3D-42CC-A635-D4520371CF88}" srcOrd="1" destOrd="0" presId="urn:microsoft.com/office/officeart/2005/8/layout/orgChart1"/>
    <dgm:cxn modelId="{39B1210A-671A-4C1C-BFBA-41DDAA353055}" type="presOf" srcId="{3A15363A-2211-4304-A9A1-E5C504C8BB00}" destId="{66C96CE0-F535-426F-B82D-668685FF6CEF}" srcOrd="0" destOrd="0" presId="urn:microsoft.com/office/officeart/2005/8/layout/orgChart1"/>
    <dgm:cxn modelId="{E4DC8C0A-8BA1-4E33-90D3-9AD867CD54DB}" type="presOf" srcId="{BCF5286B-88ED-4013-B1D2-E14C43822EAF}" destId="{D8213F09-3495-4000-BEC6-5F96D1DEEF03}" srcOrd="1" destOrd="0" presId="urn:microsoft.com/office/officeart/2005/8/layout/orgChart1"/>
    <dgm:cxn modelId="{8578E610-BFFC-4923-ABE6-BB829B04AD0A}" type="presOf" srcId="{4184807F-37F9-4E32-8CD0-85EC6EADAE76}" destId="{68961B14-92A4-404E-8650-E5A0F441E14D}" srcOrd="0" destOrd="0" presId="urn:microsoft.com/office/officeart/2005/8/layout/orgChart1"/>
    <dgm:cxn modelId="{0CEA3B12-5072-49BA-8C2B-CBBA6568BF3A}" type="presOf" srcId="{DEAE21FB-8AF6-4072-A2CB-50965012D06E}" destId="{836751CC-BB4C-4270-B19B-84AB1BE7017F}" srcOrd="1" destOrd="0" presId="urn:microsoft.com/office/officeart/2005/8/layout/orgChart1"/>
    <dgm:cxn modelId="{F7275219-BC4C-4DB4-855F-C4117A486DBB}" type="presOf" srcId="{D6C87F09-F028-4F02-9513-F1B8104B9743}" destId="{C3D7ACC5-BFD3-4EB8-BFEB-80F5325E39DD}" srcOrd="0" destOrd="0" presId="urn:microsoft.com/office/officeart/2005/8/layout/orgChart1"/>
    <dgm:cxn modelId="{75D9B320-C961-45B1-A9FD-95B81CF29CB3}" type="presOf" srcId="{5F08F7B9-450A-49DB-A24F-D7E41F0E751C}" destId="{313A07E1-67A2-497D-89B8-ACA948D8AB61}" srcOrd="0" destOrd="0" presId="urn:microsoft.com/office/officeart/2005/8/layout/orgChart1"/>
    <dgm:cxn modelId="{F4C40523-D0F7-45BA-8C4C-5B80A032C4CE}" type="presOf" srcId="{06F33928-FD70-4C8B-9B1B-4C102D5DB5DA}" destId="{181B60D1-A79E-4B47-BE9E-E2EDA5EAA73D}" srcOrd="0" destOrd="0" presId="urn:microsoft.com/office/officeart/2005/8/layout/orgChart1"/>
    <dgm:cxn modelId="{7CC46726-6C2F-43C2-97BB-80916D292177}" type="presOf" srcId="{BCF5286B-88ED-4013-B1D2-E14C43822EAF}" destId="{6B78265A-4C2D-4182-B68E-85225AFA0E69}" srcOrd="0" destOrd="0" presId="urn:microsoft.com/office/officeart/2005/8/layout/orgChart1"/>
    <dgm:cxn modelId="{665E932C-69C4-423D-8AAB-7B9C4C282589}" srcId="{F752BF74-8F9F-45C2-95EA-D15ADC39F4F2}" destId="{BCF5286B-88ED-4013-B1D2-E14C43822EAF}" srcOrd="2" destOrd="0" parTransId="{26E84976-E2C0-4791-80F6-A9CF602D9D4C}" sibTransId="{9B3FA4F7-5F4F-4608-A624-0C4D3259F29A}"/>
    <dgm:cxn modelId="{9E494832-F40B-41AC-B460-1348503B200E}" type="presOf" srcId="{F752BF74-8F9F-45C2-95EA-D15ADC39F4F2}" destId="{26A6070F-291F-41CE-8FD0-5C5AB207873C}" srcOrd="1" destOrd="0" presId="urn:microsoft.com/office/officeart/2005/8/layout/orgChart1"/>
    <dgm:cxn modelId="{2F70CF32-8519-45BF-A95C-D2AB1DD23890}" type="presOf" srcId="{7546F05E-8CFE-4EDB-BACC-30D5B39A7E52}" destId="{3F4C71DD-B1C9-4AEF-9E08-7141800238D9}" srcOrd="1" destOrd="0" presId="urn:microsoft.com/office/officeart/2005/8/layout/orgChart1"/>
    <dgm:cxn modelId="{6D058F35-242C-40A4-9210-87526C34698B}" srcId="{DF282D31-BEDC-44F2-9304-FCFEC92F85A9}" destId="{36BD4972-E8CB-42AD-9FCD-473367B48339}" srcOrd="3" destOrd="0" parTransId="{4E7452F9-084B-46D0-A934-ED92562A6A0F}" sibTransId="{C3135406-D7AA-4811-B535-841873A5C134}"/>
    <dgm:cxn modelId="{C42B6037-A207-42CF-9907-A2AFAC22E23A}" type="presOf" srcId="{7546F05E-8CFE-4EDB-BACC-30D5B39A7E52}" destId="{F86B31EE-D12D-46D3-9475-AB9159094778}" srcOrd="0" destOrd="0" presId="urn:microsoft.com/office/officeart/2005/8/layout/orgChart1"/>
    <dgm:cxn modelId="{FC72FF3F-A915-4A05-B62A-810ED3BA9671}" type="presOf" srcId="{26E84976-E2C0-4791-80F6-A9CF602D9D4C}" destId="{13925C28-01EF-4800-BAC6-2CA741D22CEB}" srcOrd="0" destOrd="0" presId="urn:microsoft.com/office/officeart/2005/8/layout/orgChart1"/>
    <dgm:cxn modelId="{62BC855B-24EA-4267-B155-9B72D9EBCF77}" type="presOf" srcId="{F551BD65-11BD-45A7-8911-786824B9F380}" destId="{29AB2845-8213-49A2-9AAF-354BC5B0F7F1}" srcOrd="0" destOrd="0" presId="urn:microsoft.com/office/officeart/2005/8/layout/orgChart1"/>
    <dgm:cxn modelId="{7CFEC45B-8C68-4C2D-9805-9277A6DD6E9B}" type="presOf" srcId="{88987A7E-583A-4948-9C73-22DAD7BCB6A2}" destId="{B9A26854-A22D-443F-98BF-DD6C5429A343}" srcOrd="1" destOrd="0" presId="urn:microsoft.com/office/officeart/2005/8/layout/orgChart1"/>
    <dgm:cxn modelId="{BF5A0962-7FEF-4E80-B5E7-9EFF165F700E}" type="presOf" srcId="{30445719-BAD5-4769-80CF-02B13911DF50}" destId="{6553818F-01F5-4C56-8181-8AB3A96515FE}" srcOrd="0" destOrd="0" presId="urn:microsoft.com/office/officeart/2005/8/layout/orgChart1"/>
    <dgm:cxn modelId="{874C5364-FD00-4E70-B51A-AA9A7A60E4E1}" type="presOf" srcId="{31F55AC9-CB09-495E-833E-75ABBD505B74}" destId="{246C8145-4D59-4CC9-A343-C87D1E5C958C}" srcOrd="0" destOrd="0" presId="urn:microsoft.com/office/officeart/2005/8/layout/orgChart1"/>
    <dgm:cxn modelId="{0B9C5745-C7BA-4A64-84C4-DD6005F06227}" type="presOf" srcId="{4184807F-37F9-4E32-8CD0-85EC6EADAE76}" destId="{1645C6C0-A663-4127-A424-7D8880850C03}" srcOrd="1" destOrd="0" presId="urn:microsoft.com/office/officeart/2005/8/layout/orgChart1"/>
    <dgm:cxn modelId="{90525A68-DAD4-4392-9B7D-72C04AD9EA83}" type="presOf" srcId="{4D2B5B5D-0307-405D-ACEA-021FF5640DFB}" destId="{D3EA9B3E-1CFD-4FFD-A641-50A5B431C5FF}" srcOrd="1" destOrd="0" presId="urn:microsoft.com/office/officeart/2005/8/layout/orgChart1"/>
    <dgm:cxn modelId="{5C3A2649-7EB8-44FA-A58A-56B3F5FCF8A5}" type="presOf" srcId="{9EF91342-D8C3-4F20-9FFD-86CC9146A009}" destId="{5DAFC08D-9F0E-49AC-89BA-3A86FF754BDB}" srcOrd="0" destOrd="0" presId="urn:microsoft.com/office/officeart/2005/8/layout/orgChart1"/>
    <dgm:cxn modelId="{96399269-51D9-447D-9DED-FAF05080CF94}" type="presOf" srcId="{5B8BCEC9-4740-4328-972F-A739AB1B116D}" destId="{3909E97F-BA02-4398-853F-F04F182CC5A7}" srcOrd="0" destOrd="0" presId="urn:microsoft.com/office/officeart/2005/8/layout/orgChart1"/>
    <dgm:cxn modelId="{4CF3086A-24BE-4F98-B84A-9421A8110054}" type="presOf" srcId="{1A1EE7E5-93AC-4C6D-96EC-7606E74382D9}" destId="{A2AC1E27-3A56-4638-947F-37262C648041}" srcOrd="0" destOrd="0" presId="urn:microsoft.com/office/officeart/2005/8/layout/orgChart1"/>
    <dgm:cxn modelId="{32668E4B-6651-484E-82F3-87CFA2CA7780}" type="presOf" srcId="{4E7452F9-084B-46D0-A934-ED92562A6A0F}" destId="{499836E8-CED6-4409-B34D-FEBC362C8EE0}" srcOrd="0" destOrd="0" presId="urn:microsoft.com/office/officeart/2005/8/layout/orgChart1"/>
    <dgm:cxn modelId="{7218B84C-5BEB-4F31-9B24-8C9BBFD42138}" type="presOf" srcId="{5A6BCDC7-1D64-4DE0-95FB-58EBD451BBEA}" destId="{78F2C3E9-8679-4FE1-8FD5-CE5F5755BC6D}" srcOrd="0" destOrd="0" presId="urn:microsoft.com/office/officeart/2005/8/layout/orgChart1"/>
    <dgm:cxn modelId="{9AABF06C-D52B-45BB-9DDD-458D5C53DAB8}" type="presOf" srcId="{659C7450-ED1F-49DC-969C-B6BD868F9713}" destId="{C81BB5D4-8E88-4DD7-B5D8-7784BAD2AE2F}" srcOrd="0" destOrd="0" presId="urn:microsoft.com/office/officeart/2005/8/layout/orgChart1"/>
    <dgm:cxn modelId="{C10EF74E-870A-4506-91AC-C04B180177B1}" type="presOf" srcId="{8AB08987-DA5B-4A55-A60D-C82DC3B5C3C1}" destId="{7DF23142-59F8-439A-A054-A89C04B794EA}" srcOrd="1" destOrd="0" presId="urn:microsoft.com/office/officeart/2005/8/layout/orgChart1"/>
    <dgm:cxn modelId="{3CA2194F-A8BD-453E-A7A2-62037733C321}" type="presOf" srcId="{D6C87F09-F028-4F02-9513-F1B8104B9743}" destId="{5C1B1C09-7C44-4360-9F5D-FDC4AF4BFBAD}" srcOrd="1" destOrd="0" presId="urn:microsoft.com/office/officeart/2005/8/layout/orgChart1"/>
    <dgm:cxn modelId="{90D43C6F-94CB-43CF-9D2A-E33073D525BB}" type="presOf" srcId="{659C7450-ED1F-49DC-969C-B6BD868F9713}" destId="{3978B76D-D79F-468E-B7E0-C2C42238DFCF}" srcOrd="1" destOrd="0" presId="urn:microsoft.com/office/officeart/2005/8/layout/orgChart1"/>
    <dgm:cxn modelId="{A1C94B50-A3B2-4B0F-8587-8518FC65A840}" srcId="{BCF5286B-88ED-4013-B1D2-E14C43822EAF}" destId="{4D2B5B5D-0307-405D-ACEA-021FF5640DFB}" srcOrd="1" destOrd="0" parTransId="{06F33928-FD70-4C8B-9B1B-4C102D5DB5DA}" sibTransId="{9B402B0F-205B-4EAD-95C7-34353DDAAD03}"/>
    <dgm:cxn modelId="{24D3AA73-2942-4FFA-AB83-4A5F46BB32B8}" type="presOf" srcId="{F752BF74-8F9F-45C2-95EA-D15ADC39F4F2}" destId="{7530726E-38A5-4024-8BD5-E099A59420B7}" srcOrd="0" destOrd="0" presId="urn:microsoft.com/office/officeart/2005/8/layout/orgChart1"/>
    <dgm:cxn modelId="{70562455-0141-4A11-82E9-0D1508444A8B}" type="presOf" srcId="{8F8C0F81-CFB9-4476-8299-DBEEFC355C11}" destId="{F6DDCD87-8447-43CE-B4BC-9BC60CD9356A}" srcOrd="1" destOrd="0" presId="urn:microsoft.com/office/officeart/2005/8/layout/orgChart1"/>
    <dgm:cxn modelId="{6610AB56-8207-45C3-9ED8-25CE530928CD}" type="presOf" srcId="{1128603D-B806-4DAC-A66B-EC5EFFD5042A}" destId="{A7C1AF7D-135F-45C3-A828-492837533D4D}" srcOrd="0" destOrd="0" presId="urn:microsoft.com/office/officeart/2005/8/layout/orgChart1"/>
    <dgm:cxn modelId="{1837AB7A-843C-4C72-88DB-1F383EFB5AF2}" type="presOf" srcId="{36BD4972-E8CB-42AD-9FCD-473367B48339}" destId="{D1494CE5-795D-4391-84F8-3D2BFFBB744C}" srcOrd="0" destOrd="0" presId="urn:microsoft.com/office/officeart/2005/8/layout/orgChart1"/>
    <dgm:cxn modelId="{101EEF5A-1EB2-4E19-B733-0C7F90F83553}" srcId="{FA5854D6-0145-4E84-A5D1-956867E789EC}" destId="{7546F05E-8CFE-4EDB-BACC-30D5B39A7E52}" srcOrd="3" destOrd="0" parTransId="{94CF4B86-9844-45B8-A309-C7270FA215FA}" sibTransId="{19136B9C-8673-4AB2-9377-741F0FC995E5}"/>
    <dgm:cxn modelId="{7128F97E-3F1A-474E-BF39-7DC74901D235}" type="presOf" srcId="{941C0B28-C421-4B38-86E9-D6AB046F7025}" destId="{6E5C0784-E389-43B1-AB30-E259F28EC33A}" srcOrd="0" destOrd="0" presId="urn:microsoft.com/office/officeart/2005/8/layout/orgChart1"/>
    <dgm:cxn modelId="{F8467387-C500-4FF9-9812-73ED5E54F08B}" type="presOf" srcId="{E850F42E-5154-4597-9E5B-5A1DFCC5F318}" destId="{8B5AA12E-CC88-4A0D-94ED-C92EA03729D0}" srcOrd="0" destOrd="0" presId="urn:microsoft.com/office/officeart/2005/8/layout/orgChart1"/>
    <dgm:cxn modelId="{53A7738D-AA15-4490-9FF2-078AF78CA43E}" srcId="{FA5854D6-0145-4E84-A5D1-956867E789EC}" destId="{9BF6BBFE-FB28-4773-9DB2-774FD80F21FE}" srcOrd="0" destOrd="0" parTransId="{38EB446D-DA0A-47BC-B74F-23EA8021CC43}" sibTransId="{F1895A85-648A-4162-AEB1-D53290088B4E}"/>
    <dgm:cxn modelId="{9545A38E-D99E-4D4F-B99F-2398EC550F1B}" type="presOf" srcId="{93813957-6C61-4A36-A293-B2D040B59E93}" destId="{716AF960-6CDE-455F-BF79-5B7C84BA32B9}" srcOrd="1" destOrd="0" presId="urn:microsoft.com/office/officeart/2005/8/layout/orgChart1"/>
    <dgm:cxn modelId="{522E2B92-420C-4C21-A921-69E6F35C6909}" srcId="{B20537DD-430F-49C7-9D35-8E566A0CB052}" destId="{E850F42E-5154-4597-9E5B-5A1DFCC5F318}" srcOrd="0" destOrd="0" parTransId="{41C85F56-B930-4C23-A718-02BD9417750D}" sibTransId="{26B46C6F-B920-4774-BE13-7ED8CED51DE3}"/>
    <dgm:cxn modelId="{E831B296-F6F3-4FFC-91A4-B8F7FD0C5EA5}" srcId="{F752BF74-8F9F-45C2-95EA-D15ADC39F4F2}" destId="{FA5854D6-0145-4E84-A5D1-956867E789EC}" srcOrd="1" destOrd="0" parTransId="{4B1004BF-90B2-4A73-BF79-5D0799EB3F0F}" sibTransId="{63FE217A-6238-40C3-8D57-A7A933E79A9E}"/>
    <dgm:cxn modelId="{6A65409A-08D4-41F6-B274-483C446C2099}" type="presOf" srcId="{FA5854D6-0145-4E84-A5D1-956867E789EC}" destId="{3E493652-E7F0-41F2-8680-48D126B9E3DD}" srcOrd="1" destOrd="0" presId="urn:microsoft.com/office/officeart/2005/8/layout/orgChart1"/>
    <dgm:cxn modelId="{F5F4699B-CE5B-4B94-A7C5-56251FA460AA}" srcId="{DF282D31-BEDC-44F2-9304-FCFEC92F85A9}" destId="{D6C87F09-F028-4F02-9513-F1B8104B9743}" srcOrd="1" destOrd="0" parTransId="{5A6BCDC7-1D64-4DE0-95FB-58EBD451BBEA}" sibTransId="{572C9F5E-6228-4D02-9022-77517C46F13C}"/>
    <dgm:cxn modelId="{0EA7EB9C-9ED0-461A-B393-E14D5EF17BBB}" type="presOf" srcId="{94041896-B8DF-4FBB-9F19-6778459FFFC7}" destId="{AAACCAB2-9348-41FB-8B28-A2932D1B43CB}" srcOrd="0" destOrd="0" presId="urn:microsoft.com/office/officeart/2005/8/layout/orgChart1"/>
    <dgm:cxn modelId="{10F83EA3-95AE-446C-8AAD-FF0F6CAB32E9}" srcId="{BCF5286B-88ED-4013-B1D2-E14C43822EAF}" destId="{94041896-B8DF-4FBB-9F19-6778459FFFC7}" srcOrd="2" destOrd="0" parTransId="{89681F33-65CB-407F-9541-68327A1A6F2D}" sibTransId="{51D13835-5972-483A-8C62-C642AE5CB525}"/>
    <dgm:cxn modelId="{E2E874A3-6EBF-4818-8C3F-ABEBAEDFEB67}" type="presOf" srcId="{88987A7E-583A-4948-9C73-22DAD7BCB6A2}" destId="{9A2459CC-7716-464B-82DE-1EBFC7B2C7EA}" srcOrd="0" destOrd="0" presId="urn:microsoft.com/office/officeart/2005/8/layout/orgChart1"/>
    <dgm:cxn modelId="{080DA6A4-F290-40DA-A0A1-902156757780}" type="presOf" srcId="{94041896-B8DF-4FBB-9F19-6778459FFFC7}" destId="{6F31DA76-0C91-4F6C-BFF4-971AFC725154}" srcOrd="1" destOrd="0" presId="urn:microsoft.com/office/officeart/2005/8/layout/orgChart1"/>
    <dgm:cxn modelId="{E0B31BA6-E784-4FCD-A206-C67ADAFE124B}" srcId="{FA5854D6-0145-4E84-A5D1-956867E789EC}" destId="{4184807F-37F9-4E32-8CD0-85EC6EADAE76}" srcOrd="1" destOrd="0" parTransId="{1B31F5D0-F663-41FF-A16D-4249D3D2C5D3}" sibTransId="{7C01FC7A-6F5F-4DB9-ADF0-3E96667427A3}"/>
    <dgm:cxn modelId="{79D6C5AF-E254-4130-8617-08141A43E471}" type="presOf" srcId="{93813957-6C61-4A36-A293-B2D040B59E93}" destId="{341E3424-4BA6-4FA2-8739-C0A76EF51C2B}" srcOrd="0" destOrd="0" presId="urn:microsoft.com/office/officeart/2005/8/layout/orgChart1"/>
    <dgm:cxn modelId="{CDBA38B2-D4DF-4B0A-B280-8ABC29074D04}" srcId="{30445719-BAD5-4769-80CF-02B13911DF50}" destId="{F752BF74-8F9F-45C2-95EA-D15ADC39F4F2}" srcOrd="0" destOrd="0" parTransId="{0446370A-61ED-4BD4-ADC2-3711C8EED49C}" sibTransId="{648691ED-3062-4F51-9767-D5DA8660CFF8}"/>
    <dgm:cxn modelId="{20D3B9B4-26D4-42A6-9498-6BF53F7807B9}" type="presOf" srcId="{DEAE21FB-8AF6-4072-A2CB-50965012D06E}" destId="{73CB3A6C-EABA-4625-AD4A-2817737D6ECE}" srcOrd="0" destOrd="0" presId="urn:microsoft.com/office/officeart/2005/8/layout/orgChart1"/>
    <dgm:cxn modelId="{0AF8C8B4-E03F-4334-9797-5E45087D77C7}" type="presOf" srcId="{4B1004BF-90B2-4A73-BF79-5D0799EB3F0F}" destId="{1A059B0E-187C-40AA-9692-720D127B2037}" srcOrd="0" destOrd="0" presId="urn:microsoft.com/office/officeart/2005/8/layout/orgChart1"/>
    <dgm:cxn modelId="{E1F856B5-F154-449C-9748-CDCCB18AB23B}" srcId="{FA5854D6-0145-4E84-A5D1-956867E789EC}" destId="{DEAE21FB-8AF6-4072-A2CB-50965012D06E}" srcOrd="2" destOrd="0" parTransId="{5B8BCEC9-4740-4328-972F-A739AB1B116D}" sibTransId="{B85BF41B-B2D5-4D53-8E97-8CFD65ECCC03}"/>
    <dgm:cxn modelId="{A5D6DFB7-94BF-47BF-8D1C-3C3E7B219DB2}" type="presOf" srcId="{7D60F1DB-FA73-4C0E-9EE6-A8F246AB75C6}" destId="{49F1E49D-DA6C-4961-964B-421EAA941A77}" srcOrd="0" destOrd="0" presId="urn:microsoft.com/office/officeart/2005/8/layout/orgChart1"/>
    <dgm:cxn modelId="{3BEEBAB9-698D-4124-9CBA-51F85002020A}" type="presOf" srcId="{B20537DD-430F-49C7-9D35-8E566A0CB052}" destId="{CEDFBB25-0E61-4CF9-B348-6C131A9C7B4B}" srcOrd="0" destOrd="0" presId="urn:microsoft.com/office/officeart/2005/8/layout/orgChart1"/>
    <dgm:cxn modelId="{B3DCB9BB-7875-4FC7-A105-D3B3E74864B0}" srcId="{B20537DD-430F-49C7-9D35-8E566A0CB052}" destId="{93813957-6C61-4A36-A293-B2D040B59E93}" srcOrd="1" destOrd="0" parTransId="{5F08F7B9-450A-49DB-A24F-D7E41F0E751C}" sibTransId="{97538E57-2BAF-443C-8186-86F3B088FF53}"/>
    <dgm:cxn modelId="{ACD54CC1-672D-4ADE-848A-94B6D14D27FF}" srcId="{DF282D31-BEDC-44F2-9304-FCFEC92F85A9}" destId="{659C7450-ED1F-49DC-969C-B6BD868F9713}" srcOrd="2" destOrd="0" parTransId="{1128603D-B806-4DAC-A66B-EC5EFFD5042A}" sibTransId="{7A6CB655-88C4-4903-8FB2-614CED8ED2F1}"/>
    <dgm:cxn modelId="{AF19A6C6-C94B-449F-B7BC-FDE5E8864C85}" srcId="{B20537DD-430F-49C7-9D35-8E566A0CB052}" destId="{88987A7E-583A-4948-9C73-22DAD7BCB6A2}" srcOrd="3" destOrd="0" parTransId="{941C0B28-C421-4B38-86E9-D6AB046F7025}" sibTransId="{C2BEED4B-5ECB-4836-83BC-16D543F127F5}"/>
    <dgm:cxn modelId="{D593C2CC-6551-4BF6-B4AA-C0C6AF41A51D}" type="presOf" srcId="{1B31F5D0-F663-41FF-A16D-4249D3D2C5D3}" destId="{E6E2200C-9028-4AC2-B69E-FA44630B37A0}" srcOrd="0" destOrd="0" presId="urn:microsoft.com/office/officeart/2005/8/layout/orgChart1"/>
    <dgm:cxn modelId="{16CC37CF-7E90-42EA-A5A1-1ABA7316C898}" type="presOf" srcId="{4D2B5B5D-0307-405D-ACEA-021FF5640DFB}" destId="{08652B69-3DB3-4A2B-8740-E58099FB2B53}" srcOrd="0" destOrd="0" presId="urn:microsoft.com/office/officeart/2005/8/layout/orgChart1"/>
    <dgm:cxn modelId="{5855A3D0-0B35-433C-8DE2-9A36CDA668C8}" srcId="{BCF5286B-88ED-4013-B1D2-E14C43822EAF}" destId="{A37E731A-3144-4395-B9B1-15C49B54ABF8}" srcOrd="0" destOrd="0" parTransId="{F551BD65-11BD-45A7-8911-786824B9F380}" sibTransId="{7247770B-A43E-43F3-8F89-8E59970F10C0}"/>
    <dgm:cxn modelId="{084F01D4-DC5C-4276-95E2-521A8D57B637}" srcId="{DF282D31-BEDC-44F2-9304-FCFEC92F85A9}" destId="{8F8C0F81-CFB9-4476-8299-DBEEFC355C11}" srcOrd="0" destOrd="0" parTransId="{31F55AC9-CB09-495E-833E-75ABBD505B74}" sibTransId="{B93E7955-B6E0-4092-A767-410418EA63FA}"/>
    <dgm:cxn modelId="{521E88D4-9946-4BB1-8B51-9B3923D5BEFB}" type="presOf" srcId="{9BF6BBFE-FB28-4773-9DB2-774FD80F21FE}" destId="{032ED4C9-C448-4DC8-868C-3A7A15C44E9D}" srcOrd="0" destOrd="0" presId="urn:microsoft.com/office/officeart/2005/8/layout/orgChart1"/>
    <dgm:cxn modelId="{EE758ED5-2CCC-4805-B9CB-243DAAED2389}" type="presOf" srcId="{DF282D31-BEDC-44F2-9304-FCFEC92F85A9}" destId="{B91FA4A5-1B65-4C3D-B970-7FE3CC468ABC}" srcOrd="1" destOrd="0" presId="urn:microsoft.com/office/officeart/2005/8/layout/orgChart1"/>
    <dgm:cxn modelId="{EC9C35D9-C1FA-4881-939C-7CE4B6BB6803}" type="presOf" srcId="{89681F33-65CB-407F-9541-68327A1A6F2D}" destId="{936F2113-6945-40BA-A6AA-6BE311C325DA}" srcOrd="0" destOrd="0" presId="urn:microsoft.com/office/officeart/2005/8/layout/orgChart1"/>
    <dgm:cxn modelId="{AF943ADE-E261-4238-9C41-754F55A6E773}" srcId="{F752BF74-8F9F-45C2-95EA-D15ADC39F4F2}" destId="{DF282D31-BEDC-44F2-9304-FCFEC92F85A9}" srcOrd="3" destOrd="0" parTransId="{9EF91342-D8C3-4F20-9FFD-86CC9146A009}" sibTransId="{A249833E-318D-45CE-BB93-8A3AFB3D65EE}"/>
    <dgm:cxn modelId="{21A66CE0-951F-4C7F-B84B-0D6A2849C938}" type="presOf" srcId="{C694C20B-BBBE-41C5-8789-6C174C7FFF02}" destId="{9297F4E2-1EE6-4DCE-BBEF-F8F66F196839}" srcOrd="0" destOrd="0" presId="urn:microsoft.com/office/officeart/2005/8/layout/orgChart1"/>
    <dgm:cxn modelId="{E2EFEAE5-BC43-438A-8795-4227EA4138AF}" type="presOf" srcId="{A37E731A-3144-4395-B9B1-15C49B54ABF8}" destId="{69BC036F-0959-4593-B49B-AE42499DE41C}" srcOrd="1" destOrd="0" presId="urn:microsoft.com/office/officeart/2005/8/layout/orgChart1"/>
    <dgm:cxn modelId="{5586E9ED-AF5B-42CF-BFD0-A62DE0766B51}" srcId="{B20537DD-430F-49C7-9D35-8E566A0CB052}" destId="{8AB08987-DA5B-4A55-A60D-C82DC3B5C3C1}" srcOrd="2" destOrd="0" parTransId="{C694C20B-BBBE-41C5-8789-6C174C7FFF02}" sibTransId="{A7BAD9C2-9A03-41D5-8537-93E3A56BA873}"/>
    <dgm:cxn modelId="{84291BEE-A093-433C-9472-352618711D97}" srcId="{F752BF74-8F9F-45C2-95EA-D15ADC39F4F2}" destId="{B20537DD-430F-49C7-9D35-8E566A0CB052}" srcOrd="0" destOrd="0" parTransId="{1A1EE7E5-93AC-4C6D-96EC-7606E74382D9}" sibTransId="{B195C8F2-37EA-46BD-ABCD-3FDF3BD2C7E9}"/>
    <dgm:cxn modelId="{CDA94AF0-EB74-4238-8589-7F3B61B127F0}" type="presOf" srcId="{9BF6BBFE-FB28-4773-9DB2-774FD80F21FE}" destId="{0D7C0865-4823-4482-84B8-EB0841EF7398}" srcOrd="1" destOrd="0" presId="urn:microsoft.com/office/officeart/2005/8/layout/orgChart1"/>
    <dgm:cxn modelId="{7E6DEAF4-EA2D-40AA-88E7-9B26A21B5DB9}" type="presOf" srcId="{94CF4B86-9844-45B8-A309-C7270FA215FA}" destId="{4580C153-3308-43AA-A95A-F40FDA8AE94F}" srcOrd="0" destOrd="0" presId="urn:microsoft.com/office/officeart/2005/8/layout/orgChart1"/>
    <dgm:cxn modelId="{625E8BF8-183C-4FF3-BB57-6B9A9FCCEE21}" type="presOf" srcId="{DF282D31-BEDC-44F2-9304-FCFEC92F85A9}" destId="{5DBB2326-1BA8-4D38-8CB1-A45E9A7D455E}" srcOrd="0" destOrd="0" presId="urn:microsoft.com/office/officeart/2005/8/layout/orgChart1"/>
    <dgm:cxn modelId="{F9A4AEF8-43F0-4789-A4E6-1555E2805369}" type="presOf" srcId="{36BD4972-E8CB-42AD-9FCD-473367B48339}" destId="{21E83676-75B2-4F1D-A229-F9C0AE0C14D5}" srcOrd="1" destOrd="0" presId="urn:microsoft.com/office/officeart/2005/8/layout/orgChart1"/>
    <dgm:cxn modelId="{26F302FA-A1B6-4C60-8278-ACEE6919872B}" type="presOf" srcId="{38EB446D-DA0A-47BC-B74F-23EA8021CC43}" destId="{E5D820FB-CD50-4905-AAFA-2F98914DA468}" srcOrd="0" destOrd="0" presId="urn:microsoft.com/office/officeart/2005/8/layout/orgChart1"/>
    <dgm:cxn modelId="{CC71CAFC-CEAA-43E6-A71C-7BDA2F4AD106}" srcId="{BCF5286B-88ED-4013-B1D2-E14C43822EAF}" destId="{7D60F1DB-FA73-4C0E-9EE6-A8F246AB75C6}" srcOrd="3" destOrd="0" parTransId="{3A15363A-2211-4304-A9A1-E5C504C8BB00}" sibTransId="{FDECC054-C707-400D-8E8E-C6AEB1C17E2F}"/>
    <dgm:cxn modelId="{63AED7FC-7818-4E0C-9D3B-5DAD728F3BE1}" type="presOf" srcId="{8AB08987-DA5B-4A55-A60D-C82DC3B5C3C1}" destId="{46A3A343-48AC-4E94-8E8F-0B5C631376CF}" srcOrd="0" destOrd="0" presId="urn:microsoft.com/office/officeart/2005/8/layout/orgChart1"/>
    <dgm:cxn modelId="{2BE4FAFE-5BE4-4E2E-80AE-03CB3B528994}" type="presOf" srcId="{FA5854D6-0145-4E84-A5D1-956867E789EC}" destId="{E197E1B3-7FF9-492B-A40F-51DBDFED7F49}" srcOrd="0" destOrd="0" presId="urn:microsoft.com/office/officeart/2005/8/layout/orgChart1"/>
    <dgm:cxn modelId="{EAA323FF-25C1-43F7-B18E-94AADCD6D85E}" type="presOf" srcId="{8F8C0F81-CFB9-4476-8299-DBEEFC355C11}" destId="{461633F5-DF01-486A-B3F0-7ECF920DDE35}" srcOrd="0" destOrd="0" presId="urn:microsoft.com/office/officeart/2005/8/layout/orgChart1"/>
    <dgm:cxn modelId="{87F3A86D-3146-43D5-821B-81FC58675DD6}" type="presParOf" srcId="{6553818F-01F5-4C56-8181-8AB3A96515FE}" destId="{DBB09C60-709C-42BA-84FD-7E433F8550CA}" srcOrd="0" destOrd="0" presId="urn:microsoft.com/office/officeart/2005/8/layout/orgChart1"/>
    <dgm:cxn modelId="{FC08F522-D791-408E-A566-593793A72654}" type="presParOf" srcId="{DBB09C60-709C-42BA-84FD-7E433F8550CA}" destId="{8DD51532-7D85-4F89-8AD4-CB021712D888}" srcOrd="0" destOrd="0" presId="urn:microsoft.com/office/officeart/2005/8/layout/orgChart1"/>
    <dgm:cxn modelId="{08A6F712-ADD3-4CD6-AB20-2E2585C5C313}" type="presParOf" srcId="{8DD51532-7D85-4F89-8AD4-CB021712D888}" destId="{7530726E-38A5-4024-8BD5-E099A59420B7}" srcOrd="0" destOrd="0" presId="urn:microsoft.com/office/officeart/2005/8/layout/orgChart1"/>
    <dgm:cxn modelId="{7C56A46F-AD42-4886-8098-470F60A43174}" type="presParOf" srcId="{8DD51532-7D85-4F89-8AD4-CB021712D888}" destId="{26A6070F-291F-41CE-8FD0-5C5AB207873C}" srcOrd="1" destOrd="0" presId="urn:microsoft.com/office/officeart/2005/8/layout/orgChart1"/>
    <dgm:cxn modelId="{92D38D83-523B-4B72-8FCE-926500CED9CA}" type="presParOf" srcId="{DBB09C60-709C-42BA-84FD-7E433F8550CA}" destId="{0422A098-D8F0-4CFB-B409-9156D8E1B7B2}" srcOrd="1" destOrd="0" presId="urn:microsoft.com/office/officeart/2005/8/layout/orgChart1"/>
    <dgm:cxn modelId="{BA512B93-0B2A-4529-B323-CF4CE47FDACA}" type="presParOf" srcId="{0422A098-D8F0-4CFB-B409-9156D8E1B7B2}" destId="{A2AC1E27-3A56-4638-947F-37262C648041}" srcOrd="0" destOrd="0" presId="urn:microsoft.com/office/officeart/2005/8/layout/orgChart1"/>
    <dgm:cxn modelId="{8C503A4D-AF31-4773-8D4C-DE446E0B69AE}" type="presParOf" srcId="{0422A098-D8F0-4CFB-B409-9156D8E1B7B2}" destId="{67190BDB-04F9-40F8-9D4C-DAE9F8CCA33C}" srcOrd="1" destOrd="0" presId="urn:microsoft.com/office/officeart/2005/8/layout/orgChart1"/>
    <dgm:cxn modelId="{DA71F930-D1A2-4530-80FB-07D3A0570BCE}" type="presParOf" srcId="{67190BDB-04F9-40F8-9D4C-DAE9F8CCA33C}" destId="{4D2367D4-7691-4C6A-9C70-18803BB28B46}" srcOrd="0" destOrd="0" presId="urn:microsoft.com/office/officeart/2005/8/layout/orgChart1"/>
    <dgm:cxn modelId="{B9CA76CE-5F4F-4D77-B098-24183127919B}" type="presParOf" srcId="{4D2367D4-7691-4C6A-9C70-18803BB28B46}" destId="{CEDFBB25-0E61-4CF9-B348-6C131A9C7B4B}" srcOrd="0" destOrd="0" presId="urn:microsoft.com/office/officeart/2005/8/layout/orgChart1"/>
    <dgm:cxn modelId="{DAF32425-722B-4DC8-A127-2EA834158031}" type="presParOf" srcId="{4D2367D4-7691-4C6A-9C70-18803BB28B46}" destId="{1D83AA4C-4771-4F46-83CC-83B9F65F8206}" srcOrd="1" destOrd="0" presId="urn:microsoft.com/office/officeart/2005/8/layout/orgChart1"/>
    <dgm:cxn modelId="{C8075676-CC46-4246-B6E0-C4F14FC467E7}" type="presParOf" srcId="{67190BDB-04F9-40F8-9D4C-DAE9F8CCA33C}" destId="{2116ED4F-1735-45F2-BF51-73A9BD686263}" srcOrd="1" destOrd="0" presId="urn:microsoft.com/office/officeart/2005/8/layout/orgChart1"/>
    <dgm:cxn modelId="{B68FB7E3-2390-4D54-9E05-38CA1F0BB6D9}" type="presParOf" srcId="{2116ED4F-1735-45F2-BF51-73A9BD686263}" destId="{584DD668-205E-41DF-93AD-016F262043DC}" srcOrd="0" destOrd="0" presId="urn:microsoft.com/office/officeart/2005/8/layout/orgChart1"/>
    <dgm:cxn modelId="{A483C752-AAC5-4E16-AA46-45D0B48A3A7D}" type="presParOf" srcId="{2116ED4F-1735-45F2-BF51-73A9BD686263}" destId="{74CE41A5-5FC5-4D25-9F42-BB141FD8A35D}" srcOrd="1" destOrd="0" presId="urn:microsoft.com/office/officeart/2005/8/layout/orgChart1"/>
    <dgm:cxn modelId="{10B792C6-F423-4866-9B90-5B5643A6AAB2}" type="presParOf" srcId="{74CE41A5-5FC5-4D25-9F42-BB141FD8A35D}" destId="{A13DE001-DA33-4450-8AC7-59422EFE0706}" srcOrd="0" destOrd="0" presId="urn:microsoft.com/office/officeart/2005/8/layout/orgChart1"/>
    <dgm:cxn modelId="{30C77902-A46A-446B-97B8-710E99B7CB33}" type="presParOf" srcId="{A13DE001-DA33-4450-8AC7-59422EFE0706}" destId="{8B5AA12E-CC88-4A0D-94ED-C92EA03729D0}" srcOrd="0" destOrd="0" presId="urn:microsoft.com/office/officeart/2005/8/layout/orgChart1"/>
    <dgm:cxn modelId="{2C9687B5-3511-47DC-B2AB-C32B530B961B}" type="presParOf" srcId="{A13DE001-DA33-4450-8AC7-59422EFE0706}" destId="{A7A2F164-E0A0-4147-AFC4-E2EFF790B2B8}" srcOrd="1" destOrd="0" presId="urn:microsoft.com/office/officeart/2005/8/layout/orgChart1"/>
    <dgm:cxn modelId="{3018257C-B8B7-44CA-A82E-78BF3371B5DE}" type="presParOf" srcId="{74CE41A5-5FC5-4D25-9F42-BB141FD8A35D}" destId="{2BC1E23B-D5F5-40FD-92B6-50C73C04C73D}" srcOrd="1" destOrd="0" presId="urn:microsoft.com/office/officeart/2005/8/layout/orgChart1"/>
    <dgm:cxn modelId="{7A4FB9F0-4358-4EDA-811F-B993792B6827}" type="presParOf" srcId="{74CE41A5-5FC5-4D25-9F42-BB141FD8A35D}" destId="{7170F224-D033-42B1-A4A3-EF5D9F07D358}" srcOrd="2" destOrd="0" presId="urn:microsoft.com/office/officeart/2005/8/layout/orgChart1"/>
    <dgm:cxn modelId="{FB30AF4B-62F3-45B7-8B8B-356E3EBDA79C}" type="presParOf" srcId="{2116ED4F-1735-45F2-BF51-73A9BD686263}" destId="{313A07E1-67A2-497D-89B8-ACA948D8AB61}" srcOrd="2" destOrd="0" presId="urn:microsoft.com/office/officeart/2005/8/layout/orgChart1"/>
    <dgm:cxn modelId="{C007CFCA-E3F3-403C-A9E2-0ED106A9E4EF}" type="presParOf" srcId="{2116ED4F-1735-45F2-BF51-73A9BD686263}" destId="{46625F0B-5C51-43DA-869C-8338AEA1B527}" srcOrd="3" destOrd="0" presId="urn:microsoft.com/office/officeart/2005/8/layout/orgChart1"/>
    <dgm:cxn modelId="{4E71F0E5-60BA-4EDE-8A71-215C3F0A1512}" type="presParOf" srcId="{46625F0B-5C51-43DA-869C-8338AEA1B527}" destId="{39EEE9BD-36C3-4551-B94E-46D52C53DCDE}" srcOrd="0" destOrd="0" presId="urn:microsoft.com/office/officeart/2005/8/layout/orgChart1"/>
    <dgm:cxn modelId="{B6C0135B-55BE-4FC4-8BC0-013EA18C6E46}" type="presParOf" srcId="{39EEE9BD-36C3-4551-B94E-46D52C53DCDE}" destId="{341E3424-4BA6-4FA2-8739-C0A76EF51C2B}" srcOrd="0" destOrd="0" presId="urn:microsoft.com/office/officeart/2005/8/layout/orgChart1"/>
    <dgm:cxn modelId="{C9690C4E-F354-47DF-8F1F-0C407F549552}" type="presParOf" srcId="{39EEE9BD-36C3-4551-B94E-46D52C53DCDE}" destId="{716AF960-6CDE-455F-BF79-5B7C84BA32B9}" srcOrd="1" destOrd="0" presId="urn:microsoft.com/office/officeart/2005/8/layout/orgChart1"/>
    <dgm:cxn modelId="{B7567F10-BF31-4319-8136-E57E33BCC30C}" type="presParOf" srcId="{46625F0B-5C51-43DA-869C-8338AEA1B527}" destId="{5C378885-6810-4EE1-AAF4-B13D9C226808}" srcOrd="1" destOrd="0" presId="urn:microsoft.com/office/officeart/2005/8/layout/orgChart1"/>
    <dgm:cxn modelId="{4C0B547D-58D6-495C-9C51-23E4EAA99A77}" type="presParOf" srcId="{46625F0B-5C51-43DA-869C-8338AEA1B527}" destId="{41C55F44-F0B4-4181-8E94-D9CF513F0307}" srcOrd="2" destOrd="0" presId="urn:microsoft.com/office/officeart/2005/8/layout/orgChart1"/>
    <dgm:cxn modelId="{CE552A83-215F-486C-BEB6-6D00533BD91A}" type="presParOf" srcId="{2116ED4F-1735-45F2-BF51-73A9BD686263}" destId="{9297F4E2-1EE6-4DCE-BBEF-F8F66F196839}" srcOrd="4" destOrd="0" presId="urn:microsoft.com/office/officeart/2005/8/layout/orgChart1"/>
    <dgm:cxn modelId="{4C839B66-B04C-4DF5-BF58-F11072B7D2B6}" type="presParOf" srcId="{2116ED4F-1735-45F2-BF51-73A9BD686263}" destId="{337ECBEB-CB6D-46FE-AA16-425082E7ECDC}" srcOrd="5" destOrd="0" presId="urn:microsoft.com/office/officeart/2005/8/layout/orgChart1"/>
    <dgm:cxn modelId="{AA38DFB2-19C4-40C1-9DEE-FBF440A74D91}" type="presParOf" srcId="{337ECBEB-CB6D-46FE-AA16-425082E7ECDC}" destId="{338D7B92-B7CA-4A70-9818-2CB47C478715}" srcOrd="0" destOrd="0" presId="urn:microsoft.com/office/officeart/2005/8/layout/orgChart1"/>
    <dgm:cxn modelId="{76FC8F04-7F16-4E82-B4EA-BAF5A9E58264}" type="presParOf" srcId="{338D7B92-B7CA-4A70-9818-2CB47C478715}" destId="{46A3A343-48AC-4E94-8E8F-0B5C631376CF}" srcOrd="0" destOrd="0" presId="urn:microsoft.com/office/officeart/2005/8/layout/orgChart1"/>
    <dgm:cxn modelId="{81294AA5-FA8D-4160-BE1B-0251B0783D33}" type="presParOf" srcId="{338D7B92-B7CA-4A70-9818-2CB47C478715}" destId="{7DF23142-59F8-439A-A054-A89C04B794EA}" srcOrd="1" destOrd="0" presId="urn:microsoft.com/office/officeart/2005/8/layout/orgChart1"/>
    <dgm:cxn modelId="{C860EF84-729B-49C4-AB73-2455412226A3}" type="presParOf" srcId="{337ECBEB-CB6D-46FE-AA16-425082E7ECDC}" destId="{A7D7D858-DD8D-4A55-9F1F-BAC6C45119C4}" srcOrd="1" destOrd="0" presId="urn:microsoft.com/office/officeart/2005/8/layout/orgChart1"/>
    <dgm:cxn modelId="{3577F402-0B80-4398-8566-25D08F5DE3C2}" type="presParOf" srcId="{337ECBEB-CB6D-46FE-AA16-425082E7ECDC}" destId="{C9541DC9-A0DD-47CF-B04B-559E27582DCE}" srcOrd="2" destOrd="0" presId="urn:microsoft.com/office/officeart/2005/8/layout/orgChart1"/>
    <dgm:cxn modelId="{EB2FB5F6-AF1C-47EF-A275-AF6F493A995E}" type="presParOf" srcId="{2116ED4F-1735-45F2-BF51-73A9BD686263}" destId="{6E5C0784-E389-43B1-AB30-E259F28EC33A}" srcOrd="6" destOrd="0" presId="urn:microsoft.com/office/officeart/2005/8/layout/orgChart1"/>
    <dgm:cxn modelId="{D5955752-D079-449C-8101-0B21726D7C5D}" type="presParOf" srcId="{2116ED4F-1735-45F2-BF51-73A9BD686263}" destId="{75F838B6-25B4-4569-931E-FCB7592EA3BB}" srcOrd="7" destOrd="0" presId="urn:microsoft.com/office/officeart/2005/8/layout/orgChart1"/>
    <dgm:cxn modelId="{17B1E438-AEB3-4CDD-A654-B635913596C0}" type="presParOf" srcId="{75F838B6-25B4-4569-931E-FCB7592EA3BB}" destId="{B1C1C73D-32A0-4187-89E8-DB0B1E2356C5}" srcOrd="0" destOrd="0" presId="urn:microsoft.com/office/officeart/2005/8/layout/orgChart1"/>
    <dgm:cxn modelId="{C013A3B6-8B63-406D-B5F8-74EE85DD7524}" type="presParOf" srcId="{B1C1C73D-32A0-4187-89E8-DB0B1E2356C5}" destId="{9A2459CC-7716-464B-82DE-1EBFC7B2C7EA}" srcOrd="0" destOrd="0" presId="urn:microsoft.com/office/officeart/2005/8/layout/orgChart1"/>
    <dgm:cxn modelId="{DACD0DE9-A730-4B93-A8EF-A4CBD0A151C2}" type="presParOf" srcId="{B1C1C73D-32A0-4187-89E8-DB0B1E2356C5}" destId="{B9A26854-A22D-443F-98BF-DD6C5429A343}" srcOrd="1" destOrd="0" presId="urn:microsoft.com/office/officeart/2005/8/layout/orgChart1"/>
    <dgm:cxn modelId="{18F65459-C91D-4491-BB32-82661197E30D}" type="presParOf" srcId="{75F838B6-25B4-4569-931E-FCB7592EA3BB}" destId="{296143D5-0008-4D6C-870C-18CEF08A1807}" srcOrd="1" destOrd="0" presId="urn:microsoft.com/office/officeart/2005/8/layout/orgChart1"/>
    <dgm:cxn modelId="{7E27D6D2-F7F1-4F8C-8499-4BB14298E9F2}" type="presParOf" srcId="{75F838B6-25B4-4569-931E-FCB7592EA3BB}" destId="{9406B069-9AD9-46FA-973D-26AD60A256E0}" srcOrd="2" destOrd="0" presId="urn:microsoft.com/office/officeart/2005/8/layout/orgChart1"/>
    <dgm:cxn modelId="{78572F6F-CD54-4959-96A6-9D9398A0E8AE}" type="presParOf" srcId="{67190BDB-04F9-40F8-9D4C-DAE9F8CCA33C}" destId="{36E61972-8B99-4192-9B3A-DACB8318CBFA}" srcOrd="2" destOrd="0" presId="urn:microsoft.com/office/officeart/2005/8/layout/orgChart1"/>
    <dgm:cxn modelId="{409BE1AB-BDC3-491E-8E70-6CBC787E8385}" type="presParOf" srcId="{0422A098-D8F0-4CFB-B409-9156D8E1B7B2}" destId="{1A059B0E-187C-40AA-9692-720D127B2037}" srcOrd="2" destOrd="0" presId="urn:microsoft.com/office/officeart/2005/8/layout/orgChart1"/>
    <dgm:cxn modelId="{DB773396-1254-4E0F-AC21-936B4F32F992}" type="presParOf" srcId="{0422A098-D8F0-4CFB-B409-9156D8E1B7B2}" destId="{59642E98-CEF1-4617-892A-78122A064930}" srcOrd="3" destOrd="0" presId="urn:microsoft.com/office/officeart/2005/8/layout/orgChart1"/>
    <dgm:cxn modelId="{6EE57D47-3D04-49CD-B288-0E6F2AFDD739}" type="presParOf" srcId="{59642E98-CEF1-4617-892A-78122A064930}" destId="{3B81FB2C-DB52-4B39-9DA6-F53D9D24F2B1}" srcOrd="0" destOrd="0" presId="urn:microsoft.com/office/officeart/2005/8/layout/orgChart1"/>
    <dgm:cxn modelId="{258BE450-4947-44C0-9DC1-25FA36D87371}" type="presParOf" srcId="{3B81FB2C-DB52-4B39-9DA6-F53D9D24F2B1}" destId="{E197E1B3-7FF9-492B-A40F-51DBDFED7F49}" srcOrd="0" destOrd="0" presId="urn:microsoft.com/office/officeart/2005/8/layout/orgChart1"/>
    <dgm:cxn modelId="{A95187C5-9CAE-4543-AD70-B004DC8CC3A6}" type="presParOf" srcId="{3B81FB2C-DB52-4B39-9DA6-F53D9D24F2B1}" destId="{3E493652-E7F0-41F2-8680-48D126B9E3DD}" srcOrd="1" destOrd="0" presId="urn:microsoft.com/office/officeart/2005/8/layout/orgChart1"/>
    <dgm:cxn modelId="{D94EA63D-87C0-4578-A92E-BE9F29B4C2A6}" type="presParOf" srcId="{59642E98-CEF1-4617-892A-78122A064930}" destId="{82D33996-FA6E-400C-AF6C-9AF2AC25A56D}" srcOrd="1" destOrd="0" presId="urn:microsoft.com/office/officeart/2005/8/layout/orgChart1"/>
    <dgm:cxn modelId="{48B3CD98-E111-451A-9B39-D61DFACB95EA}" type="presParOf" srcId="{82D33996-FA6E-400C-AF6C-9AF2AC25A56D}" destId="{E5D820FB-CD50-4905-AAFA-2F98914DA468}" srcOrd="0" destOrd="0" presId="urn:microsoft.com/office/officeart/2005/8/layout/orgChart1"/>
    <dgm:cxn modelId="{C4281E4C-EE54-468B-A8EE-39D737A1492F}" type="presParOf" srcId="{82D33996-FA6E-400C-AF6C-9AF2AC25A56D}" destId="{7294D0FD-B4F6-4538-9D53-EF9A7B1F19A7}" srcOrd="1" destOrd="0" presId="urn:microsoft.com/office/officeart/2005/8/layout/orgChart1"/>
    <dgm:cxn modelId="{C8EB2948-199F-4E0A-BF30-30E1062EE426}" type="presParOf" srcId="{7294D0FD-B4F6-4538-9D53-EF9A7B1F19A7}" destId="{1663BEA2-191B-4C80-A631-504ED84A9649}" srcOrd="0" destOrd="0" presId="urn:microsoft.com/office/officeart/2005/8/layout/orgChart1"/>
    <dgm:cxn modelId="{2CFA4B4D-F8CB-49F9-AEF0-DCAA3F54810A}" type="presParOf" srcId="{1663BEA2-191B-4C80-A631-504ED84A9649}" destId="{032ED4C9-C448-4DC8-868C-3A7A15C44E9D}" srcOrd="0" destOrd="0" presId="urn:microsoft.com/office/officeart/2005/8/layout/orgChart1"/>
    <dgm:cxn modelId="{2A7364A9-9C8A-4E71-BED8-F940B2FA30D1}" type="presParOf" srcId="{1663BEA2-191B-4C80-A631-504ED84A9649}" destId="{0D7C0865-4823-4482-84B8-EB0841EF7398}" srcOrd="1" destOrd="0" presId="urn:microsoft.com/office/officeart/2005/8/layout/orgChart1"/>
    <dgm:cxn modelId="{5CDBD26E-5709-4F15-B400-BF69D8BB221C}" type="presParOf" srcId="{7294D0FD-B4F6-4538-9D53-EF9A7B1F19A7}" destId="{CF1D5A21-82FE-404B-9058-E004F2803501}" srcOrd="1" destOrd="0" presId="urn:microsoft.com/office/officeart/2005/8/layout/orgChart1"/>
    <dgm:cxn modelId="{56BF6005-2D72-4756-A543-92B2D7556F69}" type="presParOf" srcId="{7294D0FD-B4F6-4538-9D53-EF9A7B1F19A7}" destId="{230DBE5D-3BBD-45C3-B304-B8BF051D0249}" srcOrd="2" destOrd="0" presId="urn:microsoft.com/office/officeart/2005/8/layout/orgChart1"/>
    <dgm:cxn modelId="{8B9723FC-B3B9-4B39-A5D9-C733F6321E68}" type="presParOf" srcId="{82D33996-FA6E-400C-AF6C-9AF2AC25A56D}" destId="{E6E2200C-9028-4AC2-B69E-FA44630B37A0}" srcOrd="2" destOrd="0" presId="urn:microsoft.com/office/officeart/2005/8/layout/orgChart1"/>
    <dgm:cxn modelId="{FC05E14F-1733-43C4-B125-C484EC9FF342}" type="presParOf" srcId="{82D33996-FA6E-400C-AF6C-9AF2AC25A56D}" destId="{09FAB9E5-05FE-475D-AA64-BF299E99CD57}" srcOrd="3" destOrd="0" presId="urn:microsoft.com/office/officeart/2005/8/layout/orgChart1"/>
    <dgm:cxn modelId="{62F88860-96C5-4CCC-BF05-9F114BB6EB84}" type="presParOf" srcId="{09FAB9E5-05FE-475D-AA64-BF299E99CD57}" destId="{492F03F5-A556-4B96-A451-9DCD7B9B2343}" srcOrd="0" destOrd="0" presId="urn:microsoft.com/office/officeart/2005/8/layout/orgChart1"/>
    <dgm:cxn modelId="{B3C33BF7-5A36-4445-AF5E-078AB9723368}" type="presParOf" srcId="{492F03F5-A556-4B96-A451-9DCD7B9B2343}" destId="{68961B14-92A4-404E-8650-E5A0F441E14D}" srcOrd="0" destOrd="0" presId="urn:microsoft.com/office/officeart/2005/8/layout/orgChart1"/>
    <dgm:cxn modelId="{9861034D-2446-4FB0-BE57-521C40D985A2}" type="presParOf" srcId="{492F03F5-A556-4B96-A451-9DCD7B9B2343}" destId="{1645C6C0-A663-4127-A424-7D8880850C03}" srcOrd="1" destOrd="0" presId="urn:microsoft.com/office/officeart/2005/8/layout/orgChart1"/>
    <dgm:cxn modelId="{820788D1-66BC-460B-8A42-8ED3B61629A1}" type="presParOf" srcId="{09FAB9E5-05FE-475D-AA64-BF299E99CD57}" destId="{F91D2A77-134E-4072-8341-681042B8CDA3}" srcOrd="1" destOrd="0" presId="urn:microsoft.com/office/officeart/2005/8/layout/orgChart1"/>
    <dgm:cxn modelId="{FE19881A-F8C4-439D-9D2F-F16BE6066111}" type="presParOf" srcId="{09FAB9E5-05FE-475D-AA64-BF299E99CD57}" destId="{0B0FD693-61B3-4542-A7B1-53C6D7A49291}" srcOrd="2" destOrd="0" presId="urn:microsoft.com/office/officeart/2005/8/layout/orgChart1"/>
    <dgm:cxn modelId="{80B5FDE1-9F78-4D70-B023-9480B0F9D275}" type="presParOf" srcId="{82D33996-FA6E-400C-AF6C-9AF2AC25A56D}" destId="{3909E97F-BA02-4398-853F-F04F182CC5A7}" srcOrd="4" destOrd="0" presId="urn:microsoft.com/office/officeart/2005/8/layout/orgChart1"/>
    <dgm:cxn modelId="{42F4EB00-45CA-40A9-9B30-329668959036}" type="presParOf" srcId="{82D33996-FA6E-400C-AF6C-9AF2AC25A56D}" destId="{134D6030-CF25-4909-B8BA-726B4736D513}" srcOrd="5" destOrd="0" presId="urn:microsoft.com/office/officeart/2005/8/layout/orgChart1"/>
    <dgm:cxn modelId="{AADB01D7-2410-4EDF-BFB5-E4600BDEAE81}" type="presParOf" srcId="{134D6030-CF25-4909-B8BA-726B4736D513}" destId="{FA023B7A-53C7-4CED-8E96-3A81624DA75F}" srcOrd="0" destOrd="0" presId="urn:microsoft.com/office/officeart/2005/8/layout/orgChart1"/>
    <dgm:cxn modelId="{861103DB-C71F-4045-A630-DD935DF0F116}" type="presParOf" srcId="{FA023B7A-53C7-4CED-8E96-3A81624DA75F}" destId="{73CB3A6C-EABA-4625-AD4A-2817737D6ECE}" srcOrd="0" destOrd="0" presId="urn:microsoft.com/office/officeart/2005/8/layout/orgChart1"/>
    <dgm:cxn modelId="{4A17DA58-22EB-4A31-8E3B-AD1AB7796248}" type="presParOf" srcId="{FA023B7A-53C7-4CED-8E96-3A81624DA75F}" destId="{836751CC-BB4C-4270-B19B-84AB1BE7017F}" srcOrd="1" destOrd="0" presId="urn:microsoft.com/office/officeart/2005/8/layout/orgChart1"/>
    <dgm:cxn modelId="{BB8B4121-4ABF-443B-BC74-EF5D1E01D420}" type="presParOf" srcId="{134D6030-CF25-4909-B8BA-726B4736D513}" destId="{7AACD2BB-73EB-407D-A66B-DF3405C4BC62}" srcOrd="1" destOrd="0" presId="urn:microsoft.com/office/officeart/2005/8/layout/orgChart1"/>
    <dgm:cxn modelId="{A337A003-9E94-438D-B81C-FEB124A2415F}" type="presParOf" srcId="{134D6030-CF25-4909-B8BA-726B4736D513}" destId="{381DCE33-B920-4711-83DB-EA67ED719427}" srcOrd="2" destOrd="0" presId="urn:microsoft.com/office/officeart/2005/8/layout/orgChart1"/>
    <dgm:cxn modelId="{D28E2AE3-86EF-4C6A-BA2C-A09F4AEEF2F1}" type="presParOf" srcId="{82D33996-FA6E-400C-AF6C-9AF2AC25A56D}" destId="{4580C153-3308-43AA-A95A-F40FDA8AE94F}" srcOrd="6" destOrd="0" presId="urn:microsoft.com/office/officeart/2005/8/layout/orgChart1"/>
    <dgm:cxn modelId="{5BF3297A-38C8-4A01-9759-548E7B74074B}" type="presParOf" srcId="{82D33996-FA6E-400C-AF6C-9AF2AC25A56D}" destId="{D8A04D0D-FFD1-4D24-9D25-B1FF9CB2D0A7}" srcOrd="7" destOrd="0" presId="urn:microsoft.com/office/officeart/2005/8/layout/orgChart1"/>
    <dgm:cxn modelId="{7D4708B1-0434-4F2E-BC31-942CA4D52B2F}" type="presParOf" srcId="{D8A04D0D-FFD1-4D24-9D25-B1FF9CB2D0A7}" destId="{3488D0E5-C4A7-4D60-B16A-5679AC306EEE}" srcOrd="0" destOrd="0" presId="urn:microsoft.com/office/officeart/2005/8/layout/orgChart1"/>
    <dgm:cxn modelId="{E47198DA-4E5E-47CE-9CC9-6861DA4AD83E}" type="presParOf" srcId="{3488D0E5-C4A7-4D60-B16A-5679AC306EEE}" destId="{F86B31EE-D12D-46D3-9475-AB9159094778}" srcOrd="0" destOrd="0" presId="urn:microsoft.com/office/officeart/2005/8/layout/orgChart1"/>
    <dgm:cxn modelId="{C84DF6F2-D1B1-4B3E-8145-64F43A421214}" type="presParOf" srcId="{3488D0E5-C4A7-4D60-B16A-5679AC306EEE}" destId="{3F4C71DD-B1C9-4AEF-9E08-7141800238D9}" srcOrd="1" destOrd="0" presId="urn:microsoft.com/office/officeart/2005/8/layout/orgChart1"/>
    <dgm:cxn modelId="{B9230358-65BF-4795-8EF9-05EB123B51AF}" type="presParOf" srcId="{D8A04D0D-FFD1-4D24-9D25-B1FF9CB2D0A7}" destId="{2CB2B974-4BA4-48E0-B74C-B02ABD7F9396}" srcOrd="1" destOrd="0" presId="urn:microsoft.com/office/officeart/2005/8/layout/orgChart1"/>
    <dgm:cxn modelId="{EFEFA988-5CDD-43C6-B774-2850EC304627}" type="presParOf" srcId="{D8A04D0D-FFD1-4D24-9D25-B1FF9CB2D0A7}" destId="{8AEB67E5-759A-4987-808C-C21704B87D4E}" srcOrd="2" destOrd="0" presId="urn:microsoft.com/office/officeart/2005/8/layout/orgChart1"/>
    <dgm:cxn modelId="{B1A019EF-A205-4C58-9BA5-1A532CF8055D}" type="presParOf" srcId="{59642E98-CEF1-4617-892A-78122A064930}" destId="{1FDFDE3C-8C35-4215-927E-6766DF7EEE63}" srcOrd="2" destOrd="0" presId="urn:microsoft.com/office/officeart/2005/8/layout/orgChart1"/>
    <dgm:cxn modelId="{59886041-F867-4146-AF09-EB1B456CE2E6}" type="presParOf" srcId="{0422A098-D8F0-4CFB-B409-9156D8E1B7B2}" destId="{13925C28-01EF-4800-BAC6-2CA741D22CEB}" srcOrd="4" destOrd="0" presId="urn:microsoft.com/office/officeart/2005/8/layout/orgChart1"/>
    <dgm:cxn modelId="{3CC8B070-2564-4024-8181-E247A44FC6E1}" type="presParOf" srcId="{0422A098-D8F0-4CFB-B409-9156D8E1B7B2}" destId="{C518301C-5C46-46A4-8C12-1EDA1663D9C8}" srcOrd="5" destOrd="0" presId="urn:microsoft.com/office/officeart/2005/8/layout/orgChart1"/>
    <dgm:cxn modelId="{9EAC1B51-521B-4917-97C7-A0842FD86E5B}" type="presParOf" srcId="{C518301C-5C46-46A4-8C12-1EDA1663D9C8}" destId="{32562892-AC32-46BE-88B5-4E83A8FCC996}" srcOrd="0" destOrd="0" presId="urn:microsoft.com/office/officeart/2005/8/layout/orgChart1"/>
    <dgm:cxn modelId="{41389DA7-ADBB-4BCD-B01D-ED099C37B160}" type="presParOf" srcId="{32562892-AC32-46BE-88B5-4E83A8FCC996}" destId="{6B78265A-4C2D-4182-B68E-85225AFA0E69}" srcOrd="0" destOrd="0" presId="urn:microsoft.com/office/officeart/2005/8/layout/orgChart1"/>
    <dgm:cxn modelId="{A5063FE3-0ACD-4763-B9F5-3A8467A28386}" type="presParOf" srcId="{32562892-AC32-46BE-88B5-4E83A8FCC996}" destId="{D8213F09-3495-4000-BEC6-5F96D1DEEF03}" srcOrd="1" destOrd="0" presId="urn:microsoft.com/office/officeart/2005/8/layout/orgChart1"/>
    <dgm:cxn modelId="{F8D49AEF-99D1-40CD-85B5-882A1C2C5CE3}" type="presParOf" srcId="{C518301C-5C46-46A4-8C12-1EDA1663D9C8}" destId="{EAB0808F-843C-4908-B890-05B0FA0F6590}" srcOrd="1" destOrd="0" presId="urn:microsoft.com/office/officeart/2005/8/layout/orgChart1"/>
    <dgm:cxn modelId="{AF8809F0-919A-4A5A-B96F-2AC7B5640912}" type="presParOf" srcId="{EAB0808F-843C-4908-B890-05B0FA0F6590}" destId="{29AB2845-8213-49A2-9AAF-354BC5B0F7F1}" srcOrd="0" destOrd="0" presId="urn:microsoft.com/office/officeart/2005/8/layout/orgChart1"/>
    <dgm:cxn modelId="{B5B2FEBA-ED42-41B8-979E-555623FC826A}" type="presParOf" srcId="{EAB0808F-843C-4908-B890-05B0FA0F6590}" destId="{347C537C-968F-4E15-8966-ECAC5EF5CEB9}" srcOrd="1" destOrd="0" presId="urn:microsoft.com/office/officeart/2005/8/layout/orgChart1"/>
    <dgm:cxn modelId="{1E08C7A2-C12D-41C3-B08B-235CD2DA7C72}" type="presParOf" srcId="{347C537C-968F-4E15-8966-ECAC5EF5CEB9}" destId="{6A039687-4B4B-44C7-9811-D6CB5C6B70CD}" srcOrd="0" destOrd="0" presId="urn:microsoft.com/office/officeart/2005/8/layout/orgChart1"/>
    <dgm:cxn modelId="{FA659534-ECDA-4F6A-B03B-DA3F31567AD2}" type="presParOf" srcId="{6A039687-4B4B-44C7-9811-D6CB5C6B70CD}" destId="{B4D4465B-3E55-45B8-B264-10EA1ED4A750}" srcOrd="0" destOrd="0" presId="urn:microsoft.com/office/officeart/2005/8/layout/orgChart1"/>
    <dgm:cxn modelId="{99770FA7-CB3B-4A76-B818-CFA8B1F21966}" type="presParOf" srcId="{6A039687-4B4B-44C7-9811-D6CB5C6B70CD}" destId="{69BC036F-0959-4593-B49B-AE42499DE41C}" srcOrd="1" destOrd="0" presId="urn:microsoft.com/office/officeart/2005/8/layout/orgChart1"/>
    <dgm:cxn modelId="{F06CAA66-FFF4-4BDF-B686-E4CF9DC41598}" type="presParOf" srcId="{347C537C-968F-4E15-8966-ECAC5EF5CEB9}" destId="{DCEC6F49-9908-4278-98C9-DF3D506B8D09}" srcOrd="1" destOrd="0" presId="urn:microsoft.com/office/officeart/2005/8/layout/orgChart1"/>
    <dgm:cxn modelId="{8677E3FB-F04C-4A33-BCB6-274BB99F45ED}" type="presParOf" srcId="{347C537C-968F-4E15-8966-ECAC5EF5CEB9}" destId="{21377A44-5889-409E-A711-E74797FA0883}" srcOrd="2" destOrd="0" presId="urn:microsoft.com/office/officeart/2005/8/layout/orgChart1"/>
    <dgm:cxn modelId="{59D0A6D0-AC76-44E2-AA91-1213C07E761A}" type="presParOf" srcId="{EAB0808F-843C-4908-B890-05B0FA0F6590}" destId="{181B60D1-A79E-4B47-BE9E-E2EDA5EAA73D}" srcOrd="2" destOrd="0" presId="urn:microsoft.com/office/officeart/2005/8/layout/orgChart1"/>
    <dgm:cxn modelId="{CFA76803-4BD0-477A-BD45-5DF2472FB198}" type="presParOf" srcId="{EAB0808F-843C-4908-B890-05B0FA0F6590}" destId="{178E15EB-50E3-4A14-81A8-306141079CBC}" srcOrd="3" destOrd="0" presId="urn:microsoft.com/office/officeart/2005/8/layout/orgChart1"/>
    <dgm:cxn modelId="{FC2F249E-9567-4C3C-B1AF-418892F4F327}" type="presParOf" srcId="{178E15EB-50E3-4A14-81A8-306141079CBC}" destId="{F6EB1255-44A0-44F0-AF49-E673637E6410}" srcOrd="0" destOrd="0" presId="urn:microsoft.com/office/officeart/2005/8/layout/orgChart1"/>
    <dgm:cxn modelId="{6B38D88A-4887-46CA-BBBA-C310071FE97D}" type="presParOf" srcId="{F6EB1255-44A0-44F0-AF49-E673637E6410}" destId="{08652B69-3DB3-4A2B-8740-E58099FB2B53}" srcOrd="0" destOrd="0" presId="urn:microsoft.com/office/officeart/2005/8/layout/orgChart1"/>
    <dgm:cxn modelId="{27CE6C2E-3F59-4EC2-878F-D38CC543D127}" type="presParOf" srcId="{F6EB1255-44A0-44F0-AF49-E673637E6410}" destId="{D3EA9B3E-1CFD-4FFD-A641-50A5B431C5FF}" srcOrd="1" destOrd="0" presId="urn:microsoft.com/office/officeart/2005/8/layout/orgChart1"/>
    <dgm:cxn modelId="{573B939E-B4AA-4396-84BA-54BB6FCDF294}" type="presParOf" srcId="{178E15EB-50E3-4A14-81A8-306141079CBC}" destId="{1F4D6A77-14E6-40B9-A678-C58420EC560C}" srcOrd="1" destOrd="0" presId="urn:microsoft.com/office/officeart/2005/8/layout/orgChart1"/>
    <dgm:cxn modelId="{547AD218-90D4-40A9-9426-321B1C0E8FA9}" type="presParOf" srcId="{178E15EB-50E3-4A14-81A8-306141079CBC}" destId="{012E6DEA-37B7-4AF7-9B2D-AC8109D084D4}" srcOrd="2" destOrd="0" presId="urn:microsoft.com/office/officeart/2005/8/layout/orgChart1"/>
    <dgm:cxn modelId="{F1832062-BB7B-45F3-9FEF-55B7E59C7907}" type="presParOf" srcId="{EAB0808F-843C-4908-B890-05B0FA0F6590}" destId="{936F2113-6945-40BA-A6AA-6BE311C325DA}" srcOrd="4" destOrd="0" presId="urn:microsoft.com/office/officeart/2005/8/layout/orgChart1"/>
    <dgm:cxn modelId="{6ACE6B78-4A5B-4DDA-8741-738F54FAFE06}" type="presParOf" srcId="{EAB0808F-843C-4908-B890-05B0FA0F6590}" destId="{74F6CE0A-76D2-46F2-B445-2A5AE72CB755}" srcOrd="5" destOrd="0" presId="urn:microsoft.com/office/officeart/2005/8/layout/orgChart1"/>
    <dgm:cxn modelId="{C96865C9-4FE0-4223-834D-8FD518F43F86}" type="presParOf" srcId="{74F6CE0A-76D2-46F2-B445-2A5AE72CB755}" destId="{092DACA1-9CDE-4679-BAF6-7874FAD9E0E2}" srcOrd="0" destOrd="0" presId="urn:microsoft.com/office/officeart/2005/8/layout/orgChart1"/>
    <dgm:cxn modelId="{BFE6514F-717E-4613-A0AE-4D4F54152625}" type="presParOf" srcId="{092DACA1-9CDE-4679-BAF6-7874FAD9E0E2}" destId="{AAACCAB2-9348-41FB-8B28-A2932D1B43CB}" srcOrd="0" destOrd="0" presId="urn:microsoft.com/office/officeart/2005/8/layout/orgChart1"/>
    <dgm:cxn modelId="{A2E1A47B-1C0A-4FD0-82B1-4B770C224425}" type="presParOf" srcId="{092DACA1-9CDE-4679-BAF6-7874FAD9E0E2}" destId="{6F31DA76-0C91-4F6C-BFF4-971AFC725154}" srcOrd="1" destOrd="0" presId="urn:microsoft.com/office/officeart/2005/8/layout/orgChart1"/>
    <dgm:cxn modelId="{8056E55D-78AA-41E1-9F62-1205E3636ADB}" type="presParOf" srcId="{74F6CE0A-76D2-46F2-B445-2A5AE72CB755}" destId="{1337683D-209E-4C19-ADD6-7BF8DDCE278C}" srcOrd="1" destOrd="0" presId="urn:microsoft.com/office/officeart/2005/8/layout/orgChart1"/>
    <dgm:cxn modelId="{A58861D1-C0EE-41C1-AA9A-6F270E786BC2}" type="presParOf" srcId="{74F6CE0A-76D2-46F2-B445-2A5AE72CB755}" destId="{4F2FFECE-7C49-4D31-AD28-062411362958}" srcOrd="2" destOrd="0" presId="urn:microsoft.com/office/officeart/2005/8/layout/orgChart1"/>
    <dgm:cxn modelId="{6031AF1C-DFCE-4D62-BF8C-6B97D668EDEC}" type="presParOf" srcId="{EAB0808F-843C-4908-B890-05B0FA0F6590}" destId="{66C96CE0-F535-426F-B82D-668685FF6CEF}" srcOrd="6" destOrd="0" presId="urn:microsoft.com/office/officeart/2005/8/layout/orgChart1"/>
    <dgm:cxn modelId="{D360105D-961B-49EE-B5B3-7551261A6A5C}" type="presParOf" srcId="{EAB0808F-843C-4908-B890-05B0FA0F6590}" destId="{EAC98554-A37D-48F6-9FB5-C05A97D40685}" srcOrd="7" destOrd="0" presId="urn:microsoft.com/office/officeart/2005/8/layout/orgChart1"/>
    <dgm:cxn modelId="{8C5353AE-E35C-4705-8FF2-E2B4C475DEBC}" type="presParOf" srcId="{EAC98554-A37D-48F6-9FB5-C05A97D40685}" destId="{2B49CF33-F14B-42D0-A2C1-82E8ECDBF7C6}" srcOrd="0" destOrd="0" presId="urn:microsoft.com/office/officeart/2005/8/layout/orgChart1"/>
    <dgm:cxn modelId="{B004B84F-4134-429C-B7D6-314BEB82ED1A}" type="presParOf" srcId="{2B49CF33-F14B-42D0-A2C1-82E8ECDBF7C6}" destId="{49F1E49D-DA6C-4961-964B-421EAA941A77}" srcOrd="0" destOrd="0" presId="urn:microsoft.com/office/officeart/2005/8/layout/orgChart1"/>
    <dgm:cxn modelId="{D5B1E333-550C-49FF-A084-D90A77518166}" type="presParOf" srcId="{2B49CF33-F14B-42D0-A2C1-82E8ECDBF7C6}" destId="{DCD1EA2D-4A3D-42CC-A635-D4520371CF88}" srcOrd="1" destOrd="0" presId="urn:microsoft.com/office/officeart/2005/8/layout/orgChart1"/>
    <dgm:cxn modelId="{1A103AA0-EE47-4721-8147-AAC9993B85E5}" type="presParOf" srcId="{EAC98554-A37D-48F6-9FB5-C05A97D40685}" destId="{EF647A24-10CD-408D-9F04-ED6F3CEEFCE2}" srcOrd="1" destOrd="0" presId="urn:microsoft.com/office/officeart/2005/8/layout/orgChart1"/>
    <dgm:cxn modelId="{3DCAE454-F593-4EF6-AD20-E666AA798A50}" type="presParOf" srcId="{EAC98554-A37D-48F6-9FB5-C05A97D40685}" destId="{F82DC572-4D39-4474-8882-11B1B0F6B498}" srcOrd="2" destOrd="0" presId="urn:microsoft.com/office/officeart/2005/8/layout/orgChart1"/>
    <dgm:cxn modelId="{FA0A36FD-C2ED-49AC-881A-92E63095E809}" type="presParOf" srcId="{C518301C-5C46-46A4-8C12-1EDA1663D9C8}" destId="{F1B5D366-030C-46E2-94EA-07F970C81234}" srcOrd="2" destOrd="0" presId="urn:microsoft.com/office/officeart/2005/8/layout/orgChart1"/>
    <dgm:cxn modelId="{03136771-2193-4445-B97A-2C4F742A9284}" type="presParOf" srcId="{0422A098-D8F0-4CFB-B409-9156D8E1B7B2}" destId="{5DAFC08D-9F0E-49AC-89BA-3A86FF754BDB}" srcOrd="6" destOrd="0" presId="urn:microsoft.com/office/officeart/2005/8/layout/orgChart1"/>
    <dgm:cxn modelId="{C98715D9-545E-4DAF-B941-51F259DE24AD}" type="presParOf" srcId="{0422A098-D8F0-4CFB-B409-9156D8E1B7B2}" destId="{C3DB928F-2F27-4B73-A2B6-AEA5690E28FB}" srcOrd="7" destOrd="0" presId="urn:microsoft.com/office/officeart/2005/8/layout/orgChart1"/>
    <dgm:cxn modelId="{B341C09F-4B00-4F59-9295-D065D8EBF11C}" type="presParOf" srcId="{C3DB928F-2F27-4B73-A2B6-AEA5690E28FB}" destId="{E9C0D3CA-1419-42C1-B237-6EFF3AA997D0}" srcOrd="0" destOrd="0" presId="urn:microsoft.com/office/officeart/2005/8/layout/orgChart1"/>
    <dgm:cxn modelId="{592A29CD-90D9-4C15-8A1A-8E07B3A3A5AA}" type="presParOf" srcId="{E9C0D3CA-1419-42C1-B237-6EFF3AA997D0}" destId="{5DBB2326-1BA8-4D38-8CB1-A45E9A7D455E}" srcOrd="0" destOrd="0" presId="urn:microsoft.com/office/officeart/2005/8/layout/orgChart1"/>
    <dgm:cxn modelId="{9362E396-9CA1-474E-9278-0887A1F4F914}" type="presParOf" srcId="{E9C0D3CA-1419-42C1-B237-6EFF3AA997D0}" destId="{B91FA4A5-1B65-4C3D-B970-7FE3CC468ABC}" srcOrd="1" destOrd="0" presId="urn:microsoft.com/office/officeart/2005/8/layout/orgChart1"/>
    <dgm:cxn modelId="{235F5C29-6836-47CA-9097-E9B261DDAF1D}" type="presParOf" srcId="{C3DB928F-2F27-4B73-A2B6-AEA5690E28FB}" destId="{4E66763C-6FAC-48BF-A8E3-B33F046D3EE2}" srcOrd="1" destOrd="0" presId="urn:microsoft.com/office/officeart/2005/8/layout/orgChart1"/>
    <dgm:cxn modelId="{B68D5601-8206-4F45-8634-8BD3B2E328D6}" type="presParOf" srcId="{4E66763C-6FAC-48BF-A8E3-B33F046D3EE2}" destId="{246C8145-4D59-4CC9-A343-C87D1E5C958C}" srcOrd="0" destOrd="0" presId="urn:microsoft.com/office/officeart/2005/8/layout/orgChart1"/>
    <dgm:cxn modelId="{DD9FAAD7-8260-404F-A0C9-917F0390D96E}" type="presParOf" srcId="{4E66763C-6FAC-48BF-A8E3-B33F046D3EE2}" destId="{4811C8B0-BC5A-4E3F-8090-3BC3F182810B}" srcOrd="1" destOrd="0" presId="urn:microsoft.com/office/officeart/2005/8/layout/orgChart1"/>
    <dgm:cxn modelId="{963C9751-3BE8-48D1-928D-601C9F7B7F18}" type="presParOf" srcId="{4811C8B0-BC5A-4E3F-8090-3BC3F182810B}" destId="{0F25AEB0-8C49-4C5A-BD6C-929BBAD3D246}" srcOrd="0" destOrd="0" presId="urn:microsoft.com/office/officeart/2005/8/layout/orgChart1"/>
    <dgm:cxn modelId="{73AF18DE-941B-40E1-BDBC-AF78775E4D52}" type="presParOf" srcId="{0F25AEB0-8C49-4C5A-BD6C-929BBAD3D246}" destId="{461633F5-DF01-486A-B3F0-7ECF920DDE35}" srcOrd="0" destOrd="0" presId="urn:microsoft.com/office/officeart/2005/8/layout/orgChart1"/>
    <dgm:cxn modelId="{5EDE29D6-9064-4076-80CD-52386CAAB378}" type="presParOf" srcId="{0F25AEB0-8C49-4C5A-BD6C-929BBAD3D246}" destId="{F6DDCD87-8447-43CE-B4BC-9BC60CD9356A}" srcOrd="1" destOrd="0" presId="urn:microsoft.com/office/officeart/2005/8/layout/orgChart1"/>
    <dgm:cxn modelId="{3C6422E3-EE1D-4031-A03B-3A7558BBB667}" type="presParOf" srcId="{4811C8B0-BC5A-4E3F-8090-3BC3F182810B}" destId="{BAF8D324-4E4D-496D-B09E-C7D7A6554652}" srcOrd="1" destOrd="0" presId="urn:microsoft.com/office/officeart/2005/8/layout/orgChart1"/>
    <dgm:cxn modelId="{CD0C1FDA-4184-43DB-A0E7-140DC1DA610F}" type="presParOf" srcId="{4811C8B0-BC5A-4E3F-8090-3BC3F182810B}" destId="{51E27EA7-511B-4328-A7ED-5D603C69F34C}" srcOrd="2" destOrd="0" presId="urn:microsoft.com/office/officeart/2005/8/layout/orgChart1"/>
    <dgm:cxn modelId="{E6E69228-ECC2-4D96-BA53-011DA3A5FADB}" type="presParOf" srcId="{4E66763C-6FAC-48BF-A8E3-B33F046D3EE2}" destId="{78F2C3E9-8679-4FE1-8FD5-CE5F5755BC6D}" srcOrd="2" destOrd="0" presId="urn:microsoft.com/office/officeart/2005/8/layout/orgChart1"/>
    <dgm:cxn modelId="{0F133AF0-4C85-4CDC-8A37-2D50FA8E7C7C}" type="presParOf" srcId="{4E66763C-6FAC-48BF-A8E3-B33F046D3EE2}" destId="{A8F87671-6064-4BFA-AF69-4E42C383193D}" srcOrd="3" destOrd="0" presId="urn:microsoft.com/office/officeart/2005/8/layout/orgChart1"/>
    <dgm:cxn modelId="{8548EC52-A3D4-4BC8-B71D-C2768C495DD2}" type="presParOf" srcId="{A8F87671-6064-4BFA-AF69-4E42C383193D}" destId="{625071F6-FB7A-4B84-87AA-687A0A010C24}" srcOrd="0" destOrd="0" presId="urn:microsoft.com/office/officeart/2005/8/layout/orgChart1"/>
    <dgm:cxn modelId="{FA8FA188-5C5D-45C1-BEEB-F9E5DD94044A}" type="presParOf" srcId="{625071F6-FB7A-4B84-87AA-687A0A010C24}" destId="{C3D7ACC5-BFD3-4EB8-BFEB-80F5325E39DD}" srcOrd="0" destOrd="0" presId="urn:microsoft.com/office/officeart/2005/8/layout/orgChart1"/>
    <dgm:cxn modelId="{A93D737D-2286-47CD-B972-601038E3C672}" type="presParOf" srcId="{625071F6-FB7A-4B84-87AA-687A0A010C24}" destId="{5C1B1C09-7C44-4360-9F5D-FDC4AF4BFBAD}" srcOrd="1" destOrd="0" presId="urn:microsoft.com/office/officeart/2005/8/layout/orgChart1"/>
    <dgm:cxn modelId="{8B640A32-82D7-463A-946E-4303F15A09B0}" type="presParOf" srcId="{A8F87671-6064-4BFA-AF69-4E42C383193D}" destId="{FA66C3FB-E913-4516-B309-CA2E9982DC6B}" srcOrd="1" destOrd="0" presId="urn:microsoft.com/office/officeart/2005/8/layout/orgChart1"/>
    <dgm:cxn modelId="{6C087B99-356C-4C23-8C34-49C6CFF2781A}" type="presParOf" srcId="{A8F87671-6064-4BFA-AF69-4E42C383193D}" destId="{2A048B5E-681C-43E0-ABDA-FD4802453CA9}" srcOrd="2" destOrd="0" presId="urn:microsoft.com/office/officeart/2005/8/layout/orgChart1"/>
    <dgm:cxn modelId="{2FD7AD6B-9BB8-43B3-8789-CB7F269323AE}" type="presParOf" srcId="{4E66763C-6FAC-48BF-A8E3-B33F046D3EE2}" destId="{A7C1AF7D-135F-45C3-A828-492837533D4D}" srcOrd="4" destOrd="0" presId="urn:microsoft.com/office/officeart/2005/8/layout/orgChart1"/>
    <dgm:cxn modelId="{54E8AC35-646B-4CF1-8214-E34D38D7F972}" type="presParOf" srcId="{4E66763C-6FAC-48BF-A8E3-B33F046D3EE2}" destId="{7BA9EC27-EB03-4A2E-AD50-4AD4C88C2080}" srcOrd="5" destOrd="0" presId="urn:microsoft.com/office/officeart/2005/8/layout/orgChart1"/>
    <dgm:cxn modelId="{ECC782C2-31D9-468D-8019-34EEC6E19D65}" type="presParOf" srcId="{7BA9EC27-EB03-4A2E-AD50-4AD4C88C2080}" destId="{F014357C-38EA-48E3-8CB1-A351C85164D9}" srcOrd="0" destOrd="0" presId="urn:microsoft.com/office/officeart/2005/8/layout/orgChart1"/>
    <dgm:cxn modelId="{F05EB7D2-5E53-4A8A-B965-570C2F3405CC}" type="presParOf" srcId="{F014357C-38EA-48E3-8CB1-A351C85164D9}" destId="{C81BB5D4-8E88-4DD7-B5D8-7784BAD2AE2F}" srcOrd="0" destOrd="0" presId="urn:microsoft.com/office/officeart/2005/8/layout/orgChart1"/>
    <dgm:cxn modelId="{209A6C5B-44BF-4CAD-912F-89495AE2E126}" type="presParOf" srcId="{F014357C-38EA-48E3-8CB1-A351C85164D9}" destId="{3978B76D-D79F-468E-B7E0-C2C42238DFCF}" srcOrd="1" destOrd="0" presId="urn:microsoft.com/office/officeart/2005/8/layout/orgChart1"/>
    <dgm:cxn modelId="{F1A25D75-601F-4941-A145-3A20A7D4980D}" type="presParOf" srcId="{7BA9EC27-EB03-4A2E-AD50-4AD4C88C2080}" destId="{74CB88AD-5C7C-4E9C-9A05-05E39DEA00A4}" srcOrd="1" destOrd="0" presId="urn:microsoft.com/office/officeart/2005/8/layout/orgChart1"/>
    <dgm:cxn modelId="{BF4370EC-3451-49DC-8CD2-58EBE8BDD445}" type="presParOf" srcId="{7BA9EC27-EB03-4A2E-AD50-4AD4C88C2080}" destId="{518E9D0A-B480-41F4-8AAA-BDAB71CB8F34}" srcOrd="2" destOrd="0" presId="urn:microsoft.com/office/officeart/2005/8/layout/orgChart1"/>
    <dgm:cxn modelId="{D856D803-CCA4-472E-9E78-6D9626A62DD1}" type="presParOf" srcId="{4E66763C-6FAC-48BF-A8E3-B33F046D3EE2}" destId="{499836E8-CED6-4409-B34D-FEBC362C8EE0}" srcOrd="6" destOrd="0" presId="urn:microsoft.com/office/officeart/2005/8/layout/orgChart1"/>
    <dgm:cxn modelId="{FC676D26-9F71-42C5-8D32-9E4748CE8EEC}" type="presParOf" srcId="{4E66763C-6FAC-48BF-A8E3-B33F046D3EE2}" destId="{018D9A16-B8CF-45FD-82E4-B40B55647DBB}" srcOrd="7" destOrd="0" presId="urn:microsoft.com/office/officeart/2005/8/layout/orgChart1"/>
    <dgm:cxn modelId="{3850A5F2-5861-452C-A390-FAA7766245C1}" type="presParOf" srcId="{018D9A16-B8CF-45FD-82E4-B40B55647DBB}" destId="{2D1D5C96-B2F3-4689-9D5B-2663E62D280A}" srcOrd="0" destOrd="0" presId="urn:microsoft.com/office/officeart/2005/8/layout/orgChart1"/>
    <dgm:cxn modelId="{186B2171-2CCB-4FD2-BF17-14C83985F80D}" type="presParOf" srcId="{2D1D5C96-B2F3-4689-9D5B-2663E62D280A}" destId="{D1494CE5-795D-4391-84F8-3D2BFFBB744C}" srcOrd="0" destOrd="0" presId="urn:microsoft.com/office/officeart/2005/8/layout/orgChart1"/>
    <dgm:cxn modelId="{6E577BD8-1193-4A50-B11D-33E7C6ED466C}" type="presParOf" srcId="{2D1D5C96-B2F3-4689-9D5B-2663E62D280A}" destId="{21E83676-75B2-4F1D-A229-F9C0AE0C14D5}" srcOrd="1" destOrd="0" presId="urn:microsoft.com/office/officeart/2005/8/layout/orgChart1"/>
    <dgm:cxn modelId="{0BC8374B-6A0B-4152-B9C2-CDB5C067405E}" type="presParOf" srcId="{018D9A16-B8CF-45FD-82E4-B40B55647DBB}" destId="{2642E6A4-74F2-43A2-BEF2-D09F4D276FC9}" srcOrd="1" destOrd="0" presId="urn:microsoft.com/office/officeart/2005/8/layout/orgChart1"/>
    <dgm:cxn modelId="{A9396DAC-EE26-4285-B399-E0F45FF0C0B1}" type="presParOf" srcId="{018D9A16-B8CF-45FD-82E4-B40B55647DBB}" destId="{394777FD-175B-41A7-92D2-E18C472A05F8}" srcOrd="2" destOrd="0" presId="urn:microsoft.com/office/officeart/2005/8/layout/orgChart1"/>
    <dgm:cxn modelId="{0F780510-A997-4A57-9BFD-5270A97D7052}" type="presParOf" srcId="{C3DB928F-2F27-4B73-A2B6-AEA5690E28FB}" destId="{5F0313C0-1E00-4BFA-982F-B7E20B048517}" srcOrd="2" destOrd="0" presId="urn:microsoft.com/office/officeart/2005/8/layout/orgChart1"/>
    <dgm:cxn modelId="{1258B4F7-9B3D-4820-A52B-D9E8440DF4E8}" type="presParOf" srcId="{DBB09C60-709C-42BA-84FD-7E433F8550CA}" destId="{E437E4A7-556E-41A0-8BE4-FAF3593D969E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99836E8-CED6-4409-B34D-FEBC362C8EE0}">
      <dsp:nvSpPr>
        <dsp:cNvPr id="0" name=""/>
        <dsp:cNvSpPr/>
      </dsp:nvSpPr>
      <dsp:spPr>
        <a:xfrm>
          <a:off x="5364865" y="1240944"/>
          <a:ext cx="153773" cy="2655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55163"/>
              </a:lnTo>
              <a:lnTo>
                <a:pt x="153773" y="265516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C1AF7D-135F-45C3-A828-492837533D4D}">
      <dsp:nvSpPr>
        <dsp:cNvPr id="0" name=""/>
        <dsp:cNvSpPr/>
      </dsp:nvSpPr>
      <dsp:spPr>
        <a:xfrm>
          <a:off x="5364865" y="1240944"/>
          <a:ext cx="153773" cy="192729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27299"/>
              </a:lnTo>
              <a:lnTo>
                <a:pt x="153773" y="1927299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8F2C3E9-8679-4FE1-8FD5-CE5F5755BC6D}">
      <dsp:nvSpPr>
        <dsp:cNvPr id="0" name=""/>
        <dsp:cNvSpPr/>
      </dsp:nvSpPr>
      <dsp:spPr>
        <a:xfrm>
          <a:off x="5364865" y="1240944"/>
          <a:ext cx="153773" cy="11994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9436"/>
              </a:lnTo>
              <a:lnTo>
                <a:pt x="153773" y="11994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6C8145-4D59-4CC9-A343-C87D1E5C958C}">
      <dsp:nvSpPr>
        <dsp:cNvPr id="0" name=""/>
        <dsp:cNvSpPr/>
      </dsp:nvSpPr>
      <dsp:spPr>
        <a:xfrm>
          <a:off x="5364865" y="1240944"/>
          <a:ext cx="153773" cy="4715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573"/>
              </a:lnTo>
              <a:lnTo>
                <a:pt x="153773" y="47157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DAFC08D-9F0E-49AC-89BA-3A86FF754BDB}">
      <dsp:nvSpPr>
        <dsp:cNvPr id="0" name=""/>
        <dsp:cNvSpPr/>
      </dsp:nvSpPr>
      <dsp:spPr>
        <a:xfrm>
          <a:off x="3914265" y="513081"/>
          <a:ext cx="1860664" cy="2152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7641"/>
              </a:lnTo>
              <a:lnTo>
                <a:pt x="1860664" y="107641"/>
              </a:lnTo>
              <a:lnTo>
                <a:pt x="1860664" y="21528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6C96CE0-F535-426F-B82D-668685FF6CEF}">
      <dsp:nvSpPr>
        <dsp:cNvPr id="0" name=""/>
        <dsp:cNvSpPr/>
      </dsp:nvSpPr>
      <dsp:spPr>
        <a:xfrm>
          <a:off x="4124422" y="1240944"/>
          <a:ext cx="153773" cy="2655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55163"/>
              </a:lnTo>
              <a:lnTo>
                <a:pt x="153773" y="265516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6F2113-6945-40BA-A6AA-6BE311C325DA}">
      <dsp:nvSpPr>
        <dsp:cNvPr id="0" name=""/>
        <dsp:cNvSpPr/>
      </dsp:nvSpPr>
      <dsp:spPr>
        <a:xfrm>
          <a:off x="4124422" y="1240944"/>
          <a:ext cx="153773" cy="192729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27299"/>
              </a:lnTo>
              <a:lnTo>
                <a:pt x="153773" y="1927299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1B60D1-A79E-4B47-BE9E-E2EDA5EAA73D}">
      <dsp:nvSpPr>
        <dsp:cNvPr id="0" name=""/>
        <dsp:cNvSpPr/>
      </dsp:nvSpPr>
      <dsp:spPr>
        <a:xfrm>
          <a:off x="4124422" y="1240944"/>
          <a:ext cx="153773" cy="11994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9436"/>
              </a:lnTo>
              <a:lnTo>
                <a:pt x="153773" y="11994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9AB2845-8213-49A2-9AAF-354BC5B0F7F1}">
      <dsp:nvSpPr>
        <dsp:cNvPr id="0" name=""/>
        <dsp:cNvSpPr/>
      </dsp:nvSpPr>
      <dsp:spPr>
        <a:xfrm>
          <a:off x="4124422" y="1240944"/>
          <a:ext cx="153773" cy="4715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573"/>
              </a:lnTo>
              <a:lnTo>
                <a:pt x="153773" y="47157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3925C28-01EF-4800-BAC6-2CA741D22CEB}">
      <dsp:nvSpPr>
        <dsp:cNvPr id="0" name=""/>
        <dsp:cNvSpPr/>
      </dsp:nvSpPr>
      <dsp:spPr>
        <a:xfrm>
          <a:off x="3914265" y="513081"/>
          <a:ext cx="620221" cy="2152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7641"/>
              </a:lnTo>
              <a:lnTo>
                <a:pt x="620221" y="107641"/>
              </a:lnTo>
              <a:lnTo>
                <a:pt x="620221" y="21528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580C153-3308-43AA-A95A-F40FDA8AE94F}">
      <dsp:nvSpPr>
        <dsp:cNvPr id="0" name=""/>
        <dsp:cNvSpPr/>
      </dsp:nvSpPr>
      <dsp:spPr>
        <a:xfrm>
          <a:off x="2883979" y="1240944"/>
          <a:ext cx="153773" cy="2655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55163"/>
              </a:lnTo>
              <a:lnTo>
                <a:pt x="153773" y="265516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909E97F-BA02-4398-853F-F04F182CC5A7}">
      <dsp:nvSpPr>
        <dsp:cNvPr id="0" name=""/>
        <dsp:cNvSpPr/>
      </dsp:nvSpPr>
      <dsp:spPr>
        <a:xfrm>
          <a:off x="2883979" y="1240944"/>
          <a:ext cx="153773" cy="192729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27299"/>
              </a:lnTo>
              <a:lnTo>
                <a:pt x="153773" y="1927299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E2200C-9028-4AC2-B69E-FA44630B37A0}">
      <dsp:nvSpPr>
        <dsp:cNvPr id="0" name=""/>
        <dsp:cNvSpPr/>
      </dsp:nvSpPr>
      <dsp:spPr>
        <a:xfrm>
          <a:off x="2883979" y="1240944"/>
          <a:ext cx="153773" cy="11994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9436"/>
              </a:lnTo>
              <a:lnTo>
                <a:pt x="153773" y="11994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5D820FB-CD50-4905-AAFA-2F98914DA468}">
      <dsp:nvSpPr>
        <dsp:cNvPr id="0" name=""/>
        <dsp:cNvSpPr/>
      </dsp:nvSpPr>
      <dsp:spPr>
        <a:xfrm>
          <a:off x="2883979" y="1240944"/>
          <a:ext cx="153773" cy="4715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573"/>
              </a:lnTo>
              <a:lnTo>
                <a:pt x="153773" y="47157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A059B0E-187C-40AA-9692-720D127B2037}">
      <dsp:nvSpPr>
        <dsp:cNvPr id="0" name=""/>
        <dsp:cNvSpPr/>
      </dsp:nvSpPr>
      <dsp:spPr>
        <a:xfrm>
          <a:off x="3294043" y="513081"/>
          <a:ext cx="620221" cy="215283"/>
        </a:xfrm>
        <a:custGeom>
          <a:avLst/>
          <a:gdLst/>
          <a:ahLst/>
          <a:cxnLst/>
          <a:rect l="0" t="0" r="0" b="0"/>
          <a:pathLst>
            <a:path>
              <a:moveTo>
                <a:pt x="620221" y="0"/>
              </a:moveTo>
              <a:lnTo>
                <a:pt x="620221" y="107641"/>
              </a:lnTo>
              <a:lnTo>
                <a:pt x="0" y="107641"/>
              </a:lnTo>
              <a:lnTo>
                <a:pt x="0" y="21528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E5C0784-E389-43B1-AB30-E259F28EC33A}">
      <dsp:nvSpPr>
        <dsp:cNvPr id="0" name=""/>
        <dsp:cNvSpPr/>
      </dsp:nvSpPr>
      <dsp:spPr>
        <a:xfrm>
          <a:off x="1643536" y="1240944"/>
          <a:ext cx="153773" cy="2655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55163"/>
              </a:lnTo>
              <a:lnTo>
                <a:pt x="153773" y="265516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297F4E2-1EE6-4DCE-BBEF-F8F66F196839}">
      <dsp:nvSpPr>
        <dsp:cNvPr id="0" name=""/>
        <dsp:cNvSpPr/>
      </dsp:nvSpPr>
      <dsp:spPr>
        <a:xfrm>
          <a:off x="1643536" y="1240944"/>
          <a:ext cx="153773" cy="192729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27299"/>
              </a:lnTo>
              <a:lnTo>
                <a:pt x="153773" y="1927299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3A07E1-67A2-497D-89B8-ACA948D8AB61}">
      <dsp:nvSpPr>
        <dsp:cNvPr id="0" name=""/>
        <dsp:cNvSpPr/>
      </dsp:nvSpPr>
      <dsp:spPr>
        <a:xfrm>
          <a:off x="1643536" y="1240944"/>
          <a:ext cx="153773" cy="11994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9436"/>
              </a:lnTo>
              <a:lnTo>
                <a:pt x="153773" y="11994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84DD668-205E-41DF-93AD-016F262043DC}">
      <dsp:nvSpPr>
        <dsp:cNvPr id="0" name=""/>
        <dsp:cNvSpPr/>
      </dsp:nvSpPr>
      <dsp:spPr>
        <a:xfrm>
          <a:off x="1643536" y="1240944"/>
          <a:ext cx="153773" cy="4715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1573"/>
              </a:lnTo>
              <a:lnTo>
                <a:pt x="153773" y="47157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AC1E27-3A56-4638-947F-37262C648041}">
      <dsp:nvSpPr>
        <dsp:cNvPr id="0" name=""/>
        <dsp:cNvSpPr/>
      </dsp:nvSpPr>
      <dsp:spPr>
        <a:xfrm>
          <a:off x="2053600" y="513081"/>
          <a:ext cx="1860664" cy="215283"/>
        </a:xfrm>
        <a:custGeom>
          <a:avLst/>
          <a:gdLst/>
          <a:ahLst/>
          <a:cxnLst/>
          <a:rect l="0" t="0" r="0" b="0"/>
          <a:pathLst>
            <a:path>
              <a:moveTo>
                <a:pt x="1860664" y="0"/>
              </a:moveTo>
              <a:lnTo>
                <a:pt x="1860664" y="107641"/>
              </a:lnTo>
              <a:lnTo>
                <a:pt x="0" y="107641"/>
              </a:lnTo>
              <a:lnTo>
                <a:pt x="0" y="21528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530726E-38A5-4024-8BD5-E099A59420B7}">
      <dsp:nvSpPr>
        <dsp:cNvPr id="0" name=""/>
        <dsp:cNvSpPr/>
      </dsp:nvSpPr>
      <dsp:spPr>
        <a:xfrm>
          <a:off x="3401685" y="501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b="1" kern="1200"/>
            <a:t>PFR</a:t>
          </a:r>
        </a:p>
      </dsp:txBody>
      <dsp:txXfrm>
        <a:off x="3401685" y="501"/>
        <a:ext cx="1025159" cy="512579"/>
      </dsp:txXfrm>
    </dsp:sp>
    <dsp:sp modelId="{CEDFBB25-0E61-4CF9-B348-6C131A9C7B4B}">
      <dsp:nvSpPr>
        <dsp:cNvPr id="0" name=""/>
        <dsp:cNvSpPr/>
      </dsp:nvSpPr>
      <dsp:spPr>
        <a:xfrm>
          <a:off x="1541020" y="728365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Milestone 01 - Project Initiation</a:t>
          </a:r>
        </a:p>
      </dsp:txBody>
      <dsp:txXfrm>
        <a:off x="1541020" y="728365"/>
        <a:ext cx="1025159" cy="512579"/>
      </dsp:txXfrm>
    </dsp:sp>
    <dsp:sp modelId="{8B5AA12E-CC88-4A0D-94ED-C92EA03729D0}">
      <dsp:nvSpPr>
        <dsp:cNvPr id="0" name=""/>
        <dsp:cNvSpPr/>
      </dsp:nvSpPr>
      <dsp:spPr>
        <a:xfrm>
          <a:off x="1797310" y="1456228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Problem definition &amp; Project Overview</a:t>
          </a:r>
        </a:p>
      </dsp:txBody>
      <dsp:txXfrm>
        <a:off x="1797310" y="1456228"/>
        <a:ext cx="1025159" cy="512579"/>
      </dsp:txXfrm>
    </dsp:sp>
    <dsp:sp modelId="{341E3424-4BA6-4FA2-8739-C0A76EF51C2B}">
      <dsp:nvSpPr>
        <dsp:cNvPr id="0" name=""/>
        <dsp:cNvSpPr/>
      </dsp:nvSpPr>
      <dsp:spPr>
        <a:xfrm>
          <a:off x="1797310" y="2184091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Team Role Assigning</a:t>
          </a:r>
        </a:p>
      </dsp:txBody>
      <dsp:txXfrm>
        <a:off x="1797310" y="2184091"/>
        <a:ext cx="1025159" cy="512579"/>
      </dsp:txXfrm>
    </dsp:sp>
    <dsp:sp modelId="{46A3A343-48AC-4E94-8E8F-0B5C631376CF}">
      <dsp:nvSpPr>
        <dsp:cNvPr id="0" name=""/>
        <dsp:cNvSpPr/>
      </dsp:nvSpPr>
      <dsp:spPr>
        <a:xfrm>
          <a:off x="1797310" y="2911955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Project Planinig</a:t>
          </a:r>
        </a:p>
      </dsp:txBody>
      <dsp:txXfrm>
        <a:off x="1797310" y="2911955"/>
        <a:ext cx="1025159" cy="512579"/>
      </dsp:txXfrm>
    </dsp:sp>
    <dsp:sp modelId="{9A2459CC-7716-464B-82DE-1EBFC7B2C7EA}">
      <dsp:nvSpPr>
        <dsp:cNvPr id="0" name=""/>
        <dsp:cNvSpPr/>
      </dsp:nvSpPr>
      <dsp:spPr>
        <a:xfrm>
          <a:off x="1797310" y="3639818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Project Documentation</a:t>
          </a:r>
        </a:p>
      </dsp:txBody>
      <dsp:txXfrm>
        <a:off x="1797310" y="3639818"/>
        <a:ext cx="1025159" cy="512579"/>
      </dsp:txXfrm>
    </dsp:sp>
    <dsp:sp modelId="{E197E1B3-7FF9-492B-A40F-51DBDFED7F49}">
      <dsp:nvSpPr>
        <dsp:cNvPr id="0" name=""/>
        <dsp:cNvSpPr/>
      </dsp:nvSpPr>
      <dsp:spPr>
        <a:xfrm>
          <a:off x="2781463" y="728365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Milestone 02 - Research &amp; Data Curation</a:t>
          </a:r>
        </a:p>
      </dsp:txBody>
      <dsp:txXfrm>
        <a:off x="2781463" y="728365"/>
        <a:ext cx="1025159" cy="512579"/>
      </dsp:txXfrm>
    </dsp:sp>
    <dsp:sp modelId="{032ED4C9-C448-4DC8-868C-3A7A15C44E9D}">
      <dsp:nvSpPr>
        <dsp:cNvPr id="0" name=""/>
        <dsp:cNvSpPr/>
      </dsp:nvSpPr>
      <dsp:spPr>
        <a:xfrm>
          <a:off x="3037753" y="1456228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Research</a:t>
          </a:r>
        </a:p>
      </dsp:txBody>
      <dsp:txXfrm>
        <a:off x="3037753" y="1456228"/>
        <a:ext cx="1025159" cy="512579"/>
      </dsp:txXfrm>
    </dsp:sp>
    <dsp:sp modelId="{68961B14-92A4-404E-8650-E5A0F441E14D}">
      <dsp:nvSpPr>
        <dsp:cNvPr id="0" name=""/>
        <dsp:cNvSpPr/>
      </dsp:nvSpPr>
      <dsp:spPr>
        <a:xfrm>
          <a:off x="3037753" y="2184091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Data set Selection</a:t>
          </a:r>
        </a:p>
      </dsp:txBody>
      <dsp:txXfrm>
        <a:off x="3037753" y="2184091"/>
        <a:ext cx="1025159" cy="512579"/>
      </dsp:txXfrm>
    </dsp:sp>
    <dsp:sp modelId="{73CB3A6C-EABA-4625-AD4A-2817737D6ECE}">
      <dsp:nvSpPr>
        <dsp:cNvPr id="0" name=""/>
        <dsp:cNvSpPr/>
      </dsp:nvSpPr>
      <dsp:spPr>
        <a:xfrm>
          <a:off x="3037753" y="2911955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Image Preprossesing</a:t>
          </a:r>
        </a:p>
      </dsp:txBody>
      <dsp:txXfrm>
        <a:off x="3037753" y="2911955"/>
        <a:ext cx="1025159" cy="512579"/>
      </dsp:txXfrm>
    </dsp:sp>
    <dsp:sp modelId="{F86B31EE-D12D-46D3-9475-AB9159094778}">
      <dsp:nvSpPr>
        <dsp:cNvPr id="0" name=""/>
        <dsp:cNvSpPr/>
      </dsp:nvSpPr>
      <dsp:spPr>
        <a:xfrm>
          <a:off x="3037753" y="3639818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Feature Extraction</a:t>
          </a:r>
        </a:p>
      </dsp:txBody>
      <dsp:txXfrm>
        <a:off x="3037753" y="3639818"/>
        <a:ext cx="1025159" cy="512579"/>
      </dsp:txXfrm>
    </dsp:sp>
    <dsp:sp modelId="{6B78265A-4C2D-4182-B68E-85225AFA0E69}">
      <dsp:nvSpPr>
        <dsp:cNvPr id="0" name=""/>
        <dsp:cNvSpPr/>
      </dsp:nvSpPr>
      <dsp:spPr>
        <a:xfrm>
          <a:off x="4021906" y="728365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Milestone 03 - Engineering &amp; Model Training</a:t>
          </a:r>
        </a:p>
      </dsp:txBody>
      <dsp:txXfrm>
        <a:off x="4021906" y="728365"/>
        <a:ext cx="1025159" cy="512579"/>
      </dsp:txXfrm>
    </dsp:sp>
    <dsp:sp modelId="{B4D4465B-3E55-45B8-B264-10EA1ED4A750}">
      <dsp:nvSpPr>
        <dsp:cNvPr id="0" name=""/>
        <dsp:cNvSpPr/>
      </dsp:nvSpPr>
      <dsp:spPr>
        <a:xfrm>
          <a:off x="4278196" y="1456228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Design the Model Architecture</a:t>
          </a:r>
        </a:p>
      </dsp:txBody>
      <dsp:txXfrm>
        <a:off x="4278196" y="1456228"/>
        <a:ext cx="1025159" cy="512579"/>
      </dsp:txXfrm>
    </dsp:sp>
    <dsp:sp modelId="{08652B69-3DB3-4A2B-8740-E58099FB2B53}">
      <dsp:nvSpPr>
        <dsp:cNvPr id="0" name=""/>
        <dsp:cNvSpPr/>
      </dsp:nvSpPr>
      <dsp:spPr>
        <a:xfrm>
          <a:off x="4278196" y="2184091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Model Development</a:t>
          </a:r>
        </a:p>
      </dsp:txBody>
      <dsp:txXfrm>
        <a:off x="4278196" y="2184091"/>
        <a:ext cx="1025159" cy="512579"/>
      </dsp:txXfrm>
    </dsp:sp>
    <dsp:sp modelId="{AAACCAB2-9348-41FB-8B28-A2932D1B43CB}">
      <dsp:nvSpPr>
        <dsp:cNvPr id="0" name=""/>
        <dsp:cNvSpPr/>
      </dsp:nvSpPr>
      <dsp:spPr>
        <a:xfrm>
          <a:off x="4278196" y="2911955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Error Handelling</a:t>
          </a:r>
        </a:p>
      </dsp:txBody>
      <dsp:txXfrm>
        <a:off x="4278196" y="2911955"/>
        <a:ext cx="1025159" cy="512579"/>
      </dsp:txXfrm>
    </dsp:sp>
    <dsp:sp modelId="{49F1E49D-DA6C-4961-964B-421EAA941A77}">
      <dsp:nvSpPr>
        <dsp:cNvPr id="0" name=""/>
        <dsp:cNvSpPr/>
      </dsp:nvSpPr>
      <dsp:spPr>
        <a:xfrm>
          <a:off x="4278196" y="3639818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Testing &amp; Validation</a:t>
          </a:r>
        </a:p>
      </dsp:txBody>
      <dsp:txXfrm>
        <a:off x="4278196" y="3639818"/>
        <a:ext cx="1025159" cy="512579"/>
      </dsp:txXfrm>
    </dsp:sp>
    <dsp:sp modelId="{5DBB2326-1BA8-4D38-8CB1-A45E9A7D455E}">
      <dsp:nvSpPr>
        <dsp:cNvPr id="0" name=""/>
        <dsp:cNvSpPr/>
      </dsp:nvSpPr>
      <dsp:spPr>
        <a:xfrm>
          <a:off x="5262349" y="728365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Milestone 04 - Deployment &amp; Validation</a:t>
          </a:r>
        </a:p>
      </dsp:txBody>
      <dsp:txXfrm>
        <a:off x="5262349" y="728365"/>
        <a:ext cx="1025159" cy="512579"/>
      </dsp:txXfrm>
    </dsp:sp>
    <dsp:sp modelId="{461633F5-DF01-486A-B3F0-7ECF920DDE35}">
      <dsp:nvSpPr>
        <dsp:cNvPr id="0" name=""/>
        <dsp:cNvSpPr/>
      </dsp:nvSpPr>
      <dsp:spPr>
        <a:xfrm>
          <a:off x="5518639" y="1456228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UI Creation and development</a:t>
          </a:r>
        </a:p>
      </dsp:txBody>
      <dsp:txXfrm>
        <a:off x="5518639" y="1456228"/>
        <a:ext cx="1025159" cy="512579"/>
      </dsp:txXfrm>
    </dsp:sp>
    <dsp:sp modelId="{C3D7ACC5-BFD3-4EB8-BFEB-80F5325E39DD}">
      <dsp:nvSpPr>
        <dsp:cNvPr id="0" name=""/>
        <dsp:cNvSpPr/>
      </dsp:nvSpPr>
      <dsp:spPr>
        <a:xfrm>
          <a:off x="5518639" y="2184091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Quality Assuarance</a:t>
          </a:r>
        </a:p>
      </dsp:txBody>
      <dsp:txXfrm>
        <a:off x="5518639" y="2184091"/>
        <a:ext cx="1025159" cy="512579"/>
      </dsp:txXfrm>
    </dsp:sp>
    <dsp:sp modelId="{C81BB5D4-8E88-4DD7-B5D8-7784BAD2AE2F}">
      <dsp:nvSpPr>
        <dsp:cNvPr id="0" name=""/>
        <dsp:cNvSpPr/>
      </dsp:nvSpPr>
      <dsp:spPr>
        <a:xfrm>
          <a:off x="5518639" y="2911955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Final Testing for Model Accuracy</a:t>
          </a:r>
        </a:p>
      </dsp:txBody>
      <dsp:txXfrm>
        <a:off x="5518639" y="2911955"/>
        <a:ext cx="1025159" cy="512579"/>
      </dsp:txXfrm>
    </dsp:sp>
    <dsp:sp modelId="{D1494CE5-795D-4391-84F8-3D2BFFBB744C}">
      <dsp:nvSpPr>
        <dsp:cNvPr id="0" name=""/>
        <dsp:cNvSpPr/>
      </dsp:nvSpPr>
      <dsp:spPr>
        <a:xfrm>
          <a:off x="5518639" y="3639818"/>
          <a:ext cx="1025159" cy="5125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Deployment and Presentation</a:t>
          </a:r>
        </a:p>
      </dsp:txBody>
      <dsp:txXfrm>
        <a:off x="5518639" y="3639818"/>
        <a:ext cx="1025159" cy="51257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3</xdr:row>
      <xdr:rowOff>121920</xdr:rowOff>
    </xdr:from>
    <xdr:to>
      <xdr:col>15</xdr:col>
      <xdr:colOff>213360</xdr:colOff>
      <xdr:row>26</xdr:row>
      <xdr:rowOff>68580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2CA60A8-6F23-9B8A-1701-49A3DC2E3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677420</xdr:colOff>
      <xdr:row>25</xdr:row>
      <xdr:rowOff>72886</xdr:rowOff>
    </xdr:from>
    <xdr:to>
      <xdr:col>12</xdr:col>
      <xdr:colOff>1396017</xdr:colOff>
      <xdr:row>29</xdr:row>
      <xdr:rowOff>437322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3F54887-094B-4AD2-AE1E-262477D8C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2429" y="5261112"/>
          <a:ext cx="2693171" cy="1543880"/>
        </a:xfrm>
        <a:prstGeom prst="rect">
          <a:avLst/>
        </a:prstGeom>
        <a:solidFill>
          <a:srgbClr val="FFFFFF">
            <a:shade val="85000"/>
          </a:srgbClr>
        </a:solidFill>
        <a:ln w="1905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748627</xdr:colOff>
      <xdr:row>30</xdr:row>
      <xdr:rowOff>324679</xdr:rowOff>
    </xdr:from>
    <xdr:to>
      <xdr:col>12</xdr:col>
      <xdr:colOff>1371599</xdr:colOff>
      <xdr:row>35</xdr:row>
      <xdr:rowOff>92714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1C0DC0-72F3-D5D2-FF4D-68D063A95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3636" y="7136296"/>
          <a:ext cx="2597546" cy="1649844"/>
        </a:xfrm>
        <a:prstGeom prst="rect">
          <a:avLst/>
        </a:prstGeom>
        <a:solidFill>
          <a:srgbClr val="FFFFFF">
            <a:shade val="85000"/>
          </a:srgbClr>
        </a:solidFill>
        <a:ln w="1905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13</xdr:col>
      <xdr:colOff>66672</xdr:colOff>
      <xdr:row>25</xdr:row>
      <xdr:rowOff>86139</xdr:rowOff>
    </xdr:from>
    <xdr:to>
      <xdr:col>15</xdr:col>
      <xdr:colOff>1420127</xdr:colOff>
      <xdr:row>30</xdr:row>
      <xdr:rowOff>1781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5843F6E-CF52-3363-EC6D-FDF5ADEA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32776" y="5274365"/>
          <a:ext cx="2572655" cy="1539033"/>
        </a:xfrm>
        <a:prstGeom prst="rect">
          <a:avLst/>
        </a:prstGeom>
        <a:solidFill>
          <a:srgbClr val="FFFFFF">
            <a:shade val="85000"/>
          </a:srgbClr>
        </a:solidFill>
        <a:ln w="1905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13</xdr:col>
      <xdr:colOff>1</xdr:colOff>
      <xdr:row>31</xdr:row>
      <xdr:rowOff>0</xdr:rowOff>
    </xdr:from>
    <xdr:to>
      <xdr:col>15</xdr:col>
      <xdr:colOff>112645</xdr:colOff>
      <xdr:row>31</xdr:row>
      <xdr:rowOff>430377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0A1A20A-0130-6E73-4614-CEF5C2DD6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6105" y="7255565"/>
          <a:ext cx="1331844" cy="430377"/>
        </a:xfrm>
        <a:prstGeom prst="rect">
          <a:avLst/>
        </a:prstGeom>
        <a:solidFill>
          <a:srgbClr val="FFFFFF">
            <a:shade val="85000"/>
          </a:srgbClr>
        </a:solidFill>
        <a:ln w="1905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25</xdr:row>
      <xdr:rowOff>68580</xdr:rowOff>
    </xdr:from>
    <xdr:to>
      <xdr:col>11</xdr:col>
      <xdr:colOff>106680</xdr:colOff>
      <xdr:row>35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20659E0-A7B6-F1F0-3908-33E9DC4BD8FF}"/>
            </a:ext>
          </a:extLst>
        </xdr:cNvPr>
        <xdr:cNvSpPr/>
      </xdr:nvSpPr>
      <xdr:spPr>
        <a:xfrm>
          <a:off x="1097280" y="3505200"/>
          <a:ext cx="8450580" cy="19354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/>
            <a:t>NOTE:</a:t>
          </a:r>
        </a:p>
        <a:p>
          <a:pPr algn="l"/>
          <a:endParaRPr lang="en-GB"/>
        </a:p>
        <a:p>
          <a:pPr algn="l"/>
          <a:r>
            <a:rPr lang="en-GB"/>
            <a:t>1. Data Collection: The Team Members are Responsible for the hands-on work. The Team Leader is the one Accountable for ensuring the dataset is clean and adequate for training (meeting quality standards). The Sponsor just needs to be Informed when it's done.</a:t>
          </a:r>
        </a:p>
        <a:p>
          <a:pPr algn="l"/>
          <a:endParaRPr lang="en-GB"/>
        </a:p>
        <a:p>
          <a:pPr algn="l"/>
          <a:r>
            <a:rPr lang="en-GB"/>
            <a:t> 2. Architecture Selection: This is a technical decision, so the Sponsor is Consulted for technical sign-off or feasibility checks. The Team Leader is Accountable for the final selection that the team Recommends and Executes. </a:t>
          </a:r>
        </a:p>
        <a:p>
          <a:pPr algn="l"/>
          <a:endParaRPr lang="en-GB"/>
        </a:p>
        <a:p>
          <a:pPr algn="l"/>
          <a:r>
            <a:rPr lang="en-GB"/>
            <a:t>3. Final Report &amp; Presentation: The Team Leader and Team Members are both Responsible for drafting the report and slides. However, the Sponsor/Supervisor is the ultimate authority who will grade or approve it, making them Accountable for acceptance.</a:t>
          </a:r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16</xdr:row>
      <xdr:rowOff>106679</xdr:rowOff>
    </xdr:from>
    <xdr:to>
      <xdr:col>7</xdr:col>
      <xdr:colOff>1569720</xdr:colOff>
      <xdr:row>36</xdr:row>
      <xdr:rowOff>119062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F2545A6-854B-83F0-13AA-969AC1E86611}"/>
            </a:ext>
          </a:extLst>
        </xdr:cNvPr>
        <xdr:cNvSpPr/>
      </xdr:nvSpPr>
      <xdr:spPr>
        <a:xfrm>
          <a:off x="1876425" y="6583679"/>
          <a:ext cx="6217920" cy="36318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/>
            <a:t>Risk Management Strategy</a:t>
          </a:r>
        </a:p>
        <a:p>
          <a:pPr algn="l"/>
          <a:endParaRPr lang="en-GB" sz="1400" b="1"/>
        </a:p>
        <a:p>
          <a:pPr algn="l"/>
          <a:r>
            <a:rPr lang="en-GB" sz="1100"/>
            <a:t>We use a qualitative scoring method based on the Likelihood of the risk happening and its</a:t>
          </a:r>
          <a:r>
            <a:rPr lang="en-GB" sz="1100" baseline="0"/>
            <a:t> </a:t>
          </a:r>
          <a:r>
            <a:rPr lang="en-GB" sz="1100"/>
            <a:t>Impact on the project's outcomes.</a:t>
          </a:r>
        </a:p>
        <a:p>
          <a:pPr algn="l"/>
          <a:endParaRPr lang="en-GB" sz="1100"/>
        </a:p>
        <a:p>
          <a:pPr algn="l"/>
          <a:r>
            <a:rPr lang="en-GB" sz="1100" u="sng"/>
            <a:t>Score Likelihood (L) Impact (I)</a:t>
          </a:r>
        </a:p>
        <a:p>
          <a:pPr algn="l"/>
          <a:endParaRPr lang="en-GB" sz="1100" u="sng"/>
        </a:p>
        <a:p>
          <a:pPr algn="l"/>
          <a:r>
            <a:rPr lang="en-GB" sz="1100" b="1"/>
            <a:t>5</a:t>
          </a:r>
          <a:r>
            <a:rPr lang="en-GB" sz="1100"/>
            <a:t> Very likely (almost certain) Very high impact – project may fail</a:t>
          </a:r>
        </a:p>
        <a:p>
          <a:pPr algn="l"/>
          <a:r>
            <a:rPr lang="en-GB" sz="1100" b="1"/>
            <a:t>4 </a:t>
          </a:r>
          <a:r>
            <a:rPr lang="en-GB" sz="1100"/>
            <a:t>Likely Major delay or serious rework</a:t>
          </a:r>
        </a:p>
        <a:p>
          <a:pPr algn="l"/>
          <a:r>
            <a:rPr lang="en-GB" sz="1100" b="1"/>
            <a:t>3</a:t>
          </a:r>
          <a:r>
            <a:rPr lang="en-GB" sz="1100"/>
            <a:t> Possible Moderate problem, may impede progress</a:t>
          </a:r>
        </a:p>
        <a:p>
          <a:pPr algn="l"/>
          <a:r>
            <a:rPr lang="en-GB" sz="1100" b="1"/>
            <a:t>2</a:t>
          </a:r>
          <a:r>
            <a:rPr lang="en-GB" sz="1100"/>
            <a:t> Unlikely Minor issue, manageable</a:t>
          </a:r>
        </a:p>
        <a:p>
          <a:pPr algn="l"/>
          <a:r>
            <a:rPr lang="en-GB" sz="1100" b="1"/>
            <a:t>1</a:t>
          </a:r>
          <a:r>
            <a:rPr lang="en-GB" sz="1100"/>
            <a:t> Rare Not expected, or very minor effect</a:t>
          </a:r>
        </a:p>
        <a:p>
          <a:pPr algn="l"/>
          <a:endParaRPr lang="en-GB" sz="1100"/>
        </a:p>
        <a:p>
          <a:pPr algn="l"/>
          <a:r>
            <a:rPr lang="en-GB" sz="1200" b="1"/>
            <a:t>Risk Priority = Likelihood × Impact</a:t>
          </a:r>
        </a:p>
        <a:p>
          <a:pPr algn="l"/>
          <a:endParaRPr lang="en-GB" sz="1100"/>
        </a:p>
        <a:p>
          <a:pPr algn="l"/>
          <a:r>
            <a:rPr lang="en-GB" sz="1100"/>
            <a:t>Priority Score Activity</a:t>
          </a:r>
        </a:p>
        <a:p>
          <a:pPr algn="l"/>
          <a:r>
            <a:rPr lang="en-GB" sz="1100"/>
            <a:t>15–25 (High) Must address immediately</a:t>
          </a:r>
        </a:p>
        <a:p>
          <a:pPr algn="l"/>
          <a:r>
            <a:rPr lang="en-GB" sz="1100"/>
            <a:t>8–14 (Medium) Monitor closely and mitigate</a:t>
          </a:r>
        </a:p>
        <a:p>
          <a:pPr algn="l"/>
          <a:r>
            <a:rPr lang="en-GB" sz="1100"/>
            <a:t>1–7 (Low) Accept and review occasionally</a:t>
          </a:r>
        </a:p>
      </xdr:txBody>
    </xdr:sp>
    <xdr:clientData/>
  </xdr:twoCellAnchor>
  <xdr:twoCellAnchor>
    <xdr:from>
      <xdr:col>10</xdr:col>
      <xdr:colOff>571500</xdr:colOff>
      <xdr:row>8</xdr:row>
      <xdr:rowOff>411480</xdr:rowOff>
    </xdr:from>
    <xdr:to>
      <xdr:col>14</xdr:col>
      <xdr:colOff>563880</xdr:colOff>
      <xdr:row>24</xdr:row>
      <xdr:rowOff>68580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29BE42B-2D97-C684-1511-1C9C32AA79B7}"/>
            </a:ext>
          </a:extLst>
        </xdr:cNvPr>
        <xdr:cNvSpPr/>
      </xdr:nvSpPr>
      <xdr:spPr>
        <a:xfrm>
          <a:off x="10812780" y="3482340"/>
          <a:ext cx="2430780" cy="45110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/>
            <a:t>Introduction and Purpose</a:t>
          </a:r>
        </a:p>
        <a:p>
          <a:pPr algn="l"/>
          <a:r>
            <a:rPr lang="en-GB" sz="1400"/>
            <a:t>This Risk Management Plan is designed to identify and control the possible risks that may affect</a:t>
          </a:r>
        </a:p>
        <a:p>
          <a:pPr algn="l"/>
          <a:r>
            <a:rPr lang="en-GB" sz="1400"/>
            <a:t>the success of our Partial Facial Recognition System project. The plan helps reduce issues</a:t>
          </a:r>
        </a:p>
        <a:p>
          <a:pPr algn="l"/>
          <a:r>
            <a:rPr lang="en-GB" sz="1400"/>
            <a:t>relating to time, accuracy, resources, and ethics.</a:t>
          </a:r>
        </a:p>
        <a:p>
          <a:pPr algn="l"/>
          <a:r>
            <a:rPr lang="en-GB" sz="1400"/>
            <a:t>We monitor the risks on a regular basis to build a reliable system that is appropriate both from</a:t>
          </a:r>
        </a:p>
        <a:p>
          <a:pPr algn="l"/>
          <a:r>
            <a:rPr lang="en-GB" sz="1400"/>
            <a:t>a technical and an ethical viewpoint.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E9F9-5E41-47A2-87E3-EE547860113F}">
  <dimension ref="A1:I14"/>
  <sheetViews>
    <sheetView workbookViewId="0">
      <selection activeCell="E21" sqref="E21"/>
    </sheetView>
  </sheetViews>
  <sheetFormatPr defaultRowHeight="14.4" x14ac:dyDescent="0.3"/>
  <cols>
    <col min="1" max="1" width="28.77734375" bestFit="1" customWidth="1"/>
    <col min="2" max="2" width="23.21875" customWidth="1"/>
    <col min="3" max="3" width="12.88671875" customWidth="1"/>
    <col min="4" max="4" width="12.77734375" customWidth="1"/>
    <col min="5" max="5" width="14.6640625" customWidth="1"/>
    <col min="6" max="6" width="11.21875" customWidth="1"/>
    <col min="7" max="7" width="14.6640625" customWidth="1"/>
    <col min="8" max="8" width="13" customWidth="1"/>
    <col min="9" max="9" width="19.6640625" customWidth="1"/>
  </cols>
  <sheetData>
    <row r="1" spans="1:9" ht="21" x14ac:dyDescent="0.4">
      <c r="A1" s="72" t="s">
        <v>0</v>
      </c>
      <c r="B1" s="72"/>
      <c r="C1" s="72"/>
      <c r="D1" s="72"/>
      <c r="E1" s="72"/>
      <c r="F1" s="72"/>
      <c r="G1" s="72"/>
      <c r="H1" s="72"/>
      <c r="I1" s="72"/>
    </row>
    <row r="2" spans="1:9" ht="25.95" customHeight="1" x14ac:dyDescent="0.4">
      <c r="A2" s="73" t="s">
        <v>1</v>
      </c>
      <c r="B2" s="73"/>
      <c r="C2" s="73"/>
      <c r="D2" s="73"/>
      <c r="E2" s="73"/>
      <c r="F2" s="73"/>
      <c r="G2" s="73"/>
      <c r="H2" s="73"/>
      <c r="I2" s="73"/>
    </row>
    <row r="3" spans="1:9" ht="21" x14ac:dyDescent="0.4">
      <c r="A3" s="74" t="s">
        <v>2</v>
      </c>
      <c r="B3" s="74"/>
      <c r="C3" s="74"/>
      <c r="D3" s="74"/>
      <c r="E3" s="74"/>
      <c r="F3" s="74"/>
      <c r="G3" s="74"/>
      <c r="H3" s="74"/>
      <c r="I3" s="74"/>
    </row>
    <row r="5" spans="1:9" ht="15" thickBot="1" x14ac:dyDescent="0.35"/>
    <row r="6" spans="1:9" ht="45" customHeight="1" thickTop="1" thickBot="1" x14ac:dyDescent="0.45">
      <c r="A6" s="1" t="s">
        <v>3</v>
      </c>
      <c r="B6" s="76" t="s">
        <v>4</v>
      </c>
      <c r="C6" s="76"/>
      <c r="D6" s="76"/>
      <c r="E6" s="76"/>
      <c r="F6" s="76"/>
      <c r="G6" s="76"/>
      <c r="H6" s="76"/>
      <c r="I6" s="76"/>
    </row>
    <row r="7" spans="1:9" ht="22.2" thickTop="1" thickBot="1" x14ac:dyDescent="0.45">
      <c r="A7" s="2" t="s">
        <v>5</v>
      </c>
      <c r="B7" s="71" t="s">
        <v>6</v>
      </c>
      <c r="C7" s="71"/>
      <c r="D7" s="71"/>
      <c r="E7" s="71"/>
      <c r="F7" s="71"/>
      <c r="G7" s="71"/>
      <c r="H7" s="71"/>
      <c r="I7" s="71"/>
    </row>
    <row r="8" spans="1:9" ht="44.4" customHeight="1" thickTop="1" thickBot="1" x14ac:dyDescent="0.45">
      <c r="A8" s="18" t="s">
        <v>7</v>
      </c>
      <c r="B8" s="78" t="s">
        <v>8</v>
      </c>
      <c r="C8" s="79"/>
      <c r="D8" s="79"/>
      <c r="E8" s="79"/>
      <c r="F8" s="79"/>
      <c r="G8" s="79"/>
      <c r="H8" s="79"/>
      <c r="I8" s="80"/>
    </row>
    <row r="9" spans="1:9" ht="40.950000000000003" customHeight="1" thickTop="1" thickBot="1" x14ac:dyDescent="0.45">
      <c r="A9" s="18" t="s">
        <v>9</v>
      </c>
      <c r="B9" s="77" t="s">
        <v>10</v>
      </c>
      <c r="C9" s="77"/>
      <c r="D9" s="77"/>
      <c r="E9" s="77"/>
      <c r="F9" s="77"/>
      <c r="G9" s="77"/>
      <c r="H9" s="77"/>
      <c r="I9" s="77"/>
    </row>
    <row r="10" spans="1:9" ht="39.75" customHeight="1" x14ac:dyDescent="0.4">
      <c r="A10" s="2" t="s">
        <v>11</v>
      </c>
      <c r="B10" s="77" t="s">
        <v>12</v>
      </c>
      <c r="C10" s="77"/>
      <c r="D10" s="77"/>
      <c r="E10" s="77"/>
      <c r="F10" s="77"/>
      <c r="G10" s="77"/>
      <c r="H10" s="77"/>
      <c r="I10" s="77"/>
    </row>
    <row r="11" spans="1:9" ht="22.2" thickTop="1" thickBot="1" x14ac:dyDescent="0.45">
      <c r="A11" s="18" t="s">
        <v>13</v>
      </c>
      <c r="B11" s="71" t="s">
        <v>14</v>
      </c>
      <c r="C11" s="71"/>
      <c r="D11" s="71"/>
      <c r="E11" s="71"/>
      <c r="F11" s="71"/>
      <c r="G11" s="71"/>
      <c r="H11" s="71"/>
      <c r="I11" s="71"/>
    </row>
    <row r="12" spans="1:9" ht="63.6" customHeight="1" thickTop="1" thickBot="1" x14ac:dyDescent="0.45">
      <c r="A12" s="18" t="s">
        <v>15</v>
      </c>
      <c r="B12" s="75" t="s">
        <v>16</v>
      </c>
      <c r="C12" s="75"/>
      <c r="D12" s="75"/>
      <c r="E12" s="75"/>
      <c r="F12" s="75"/>
      <c r="G12" s="75"/>
      <c r="H12" s="75"/>
      <c r="I12" s="75"/>
    </row>
    <row r="13" spans="1:9" ht="22.2" thickTop="1" thickBot="1" x14ac:dyDescent="0.45">
      <c r="A13" s="18" t="s">
        <v>17</v>
      </c>
      <c r="B13" s="71" t="s">
        <v>18</v>
      </c>
      <c r="C13" s="71"/>
      <c r="D13" s="71"/>
      <c r="E13" s="71"/>
      <c r="F13" s="71"/>
      <c r="G13" s="71"/>
      <c r="H13" s="71"/>
      <c r="I13" s="71"/>
    </row>
    <row r="14" spans="1:9" ht="15" thickTop="1" x14ac:dyDescent="0.3"/>
  </sheetData>
  <mergeCells count="11">
    <mergeCell ref="B13:I13"/>
    <mergeCell ref="A1:I1"/>
    <mergeCell ref="A2:I2"/>
    <mergeCell ref="A3:I3"/>
    <mergeCell ref="B12:I12"/>
    <mergeCell ref="B6:I6"/>
    <mergeCell ref="B7:I7"/>
    <mergeCell ref="B9:I9"/>
    <mergeCell ref="B10:I10"/>
    <mergeCell ref="B11:I11"/>
    <mergeCell ref="B8:I8"/>
  </mergeCells>
  <hyperlinks>
    <hyperlink ref="A8" location="MIlestones!A1" display="Milestones" xr:uid="{26932B78-8477-4E0B-AA69-7A1963B7782F}"/>
    <hyperlink ref="A11" location="Budget!A1" display="Budget" xr:uid="{B8AE0BBA-5ED7-40B5-8A63-3AB86FD7C4DC}"/>
    <hyperlink ref="A12" location="Com.Plan!A1" display="Communication Plan" xr:uid="{E1C7155B-8120-4192-8E6B-039C940704BE}"/>
    <hyperlink ref="A13" location="RACI!A1" display="RACI Chart" xr:uid="{F2F1D9AD-AF51-430F-9254-E4A61A6D1C45}"/>
    <hyperlink ref="A9" location="Risk!A1" display="Risk Management Plan" xr:uid="{40A706D9-8FFE-43FE-B709-78397720331F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E838-241D-44A6-AC02-C646D3C7F61D}">
  <dimension ref="A1:P2"/>
  <sheetViews>
    <sheetView workbookViewId="0">
      <selection activeCell="P11" sqref="P11"/>
    </sheetView>
  </sheetViews>
  <sheetFormatPr defaultRowHeight="14.4" x14ac:dyDescent="0.3"/>
  <sheetData>
    <row r="1" spans="1:16" x14ac:dyDescent="0.3">
      <c r="A1" s="70" t="s">
        <v>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</sheetData>
  <mergeCells count="1">
    <mergeCell ref="A1:P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02DE-356B-4D9B-B2F4-D01E96BE8F20}">
  <dimension ref="A1:P15"/>
  <sheetViews>
    <sheetView zoomScale="85" zoomScaleNormal="85" workbookViewId="0">
      <selection activeCell="H8" sqref="H8"/>
    </sheetView>
  </sheetViews>
  <sheetFormatPr defaultRowHeight="14.4" x14ac:dyDescent="0.3"/>
  <cols>
    <col min="1" max="1" width="25.6640625" customWidth="1"/>
    <col min="2" max="2" width="31.77734375" customWidth="1"/>
    <col min="3" max="3" width="16.109375" customWidth="1"/>
    <col min="4" max="4" width="17.21875" customWidth="1"/>
    <col min="5" max="5" width="14.77734375" customWidth="1"/>
    <col min="6" max="6" width="26.21875" bestFit="1" customWidth="1"/>
    <col min="7" max="7" width="32.21875" customWidth="1"/>
    <col min="8" max="8" width="16.77734375" customWidth="1"/>
    <col min="9" max="9" width="40.44140625" customWidth="1"/>
  </cols>
  <sheetData>
    <row r="1" spans="1:16" ht="31.2" x14ac:dyDescent="0.6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4"/>
      <c r="K1" s="4"/>
      <c r="L1" s="4"/>
      <c r="M1" s="3"/>
      <c r="N1" s="3"/>
      <c r="O1" s="3"/>
      <c r="P1" s="3"/>
    </row>
    <row r="3" spans="1:16" ht="22.8" customHeight="1" x14ac:dyDescent="0.3"/>
    <row r="4" spans="1:16" ht="23.4" customHeight="1" thickBot="1" x14ac:dyDescent="0.35"/>
    <row r="5" spans="1:16" s="45" customFormat="1" ht="49.95" customHeight="1" thickBot="1" x14ac:dyDescent="0.4">
      <c r="A5" s="56" t="s">
        <v>146</v>
      </c>
      <c r="B5" s="56" t="s">
        <v>147</v>
      </c>
      <c r="C5" s="56" t="s">
        <v>20</v>
      </c>
      <c r="D5" s="56" t="s">
        <v>148</v>
      </c>
      <c r="E5" s="56" t="s">
        <v>22</v>
      </c>
      <c r="F5" s="56" t="s">
        <v>23</v>
      </c>
      <c r="G5" s="56" t="s">
        <v>24</v>
      </c>
      <c r="H5" s="56" t="s">
        <v>149</v>
      </c>
      <c r="I5" s="56" t="s">
        <v>25</v>
      </c>
    </row>
    <row r="6" spans="1:16" s="44" customFormat="1" ht="49.95" customHeight="1" thickBot="1" x14ac:dyDescent="0.35">
      <c r="A6" s="57" t="s">
        <v>150</v>
      </c>
      <c r="B6" s="58" t="s">
        <v>151</v>
      </c>
      <c r="C6" s="58" t="s">
        <v>152</v>
      </c>
      <c r="D6" s="58" t="s">
        <v>26</v>
      </c>
      <c r="E6" s="58" t="s">
        <v>153</v>
      </c>
      <c r="F6" s="58" t="s">
        <v>154</v>
      </c>
      <c r="G6" s="58" t="s">
        <v>155</v>
      </c>
      <c r="H6" s="58" t="s">
        <v>303</v>
      </c>
      <c r="I6" s="58" t="s">
        <v>156</v>
      </c>
    </row>
    <row r="7" spans="1:16" s="44" customFormat="1" ht="49.95" customHeight="1" thickBot="1" x14ac:dyDescent="0.35">
      <c r="A7" s="59" t="s">
        <v>157</v>
      </c>
      <c r="B7" s="60" t="s">
        <v>158</v>
      </c>
      <c r="C7" s="60" t="s">
        <v>159</v>
      </c>
      <c r="D7" s="60" t="s">
        <v>160</v>
      </c>
      <c r="E7" s="60" t="s">
        <v>161</v>
      </c>
      <c r="F7" s="60" t="s">
        <v>162</v>
      </c>
      <c r="G7" s="60" t="s">
        <v>163</v>
      </c>
      <c r="H7" s="60" t="s">
        <v>304</v>
      </c>
      <c r="I7" s="60" t="s">
        <v>164</v>
      </c>
    </row>
    <row r="8" spans="1:16" s="44" customFormat="1" ht="49.95" customHeight="1" thickBot="1" x14ac:dyDescent="0.35">
      <c r="A8" s="57" t="s">
        <v>165</v>
      </c>
      <c r="B8" s="58" t="s">
        <v>166</v>
      </c>
      <c r="C8" s="58" t="s">
        <v>167</v>
      </c>
      <c r="D8" s="58" t="s">
        <v>168</v>
      </c>
      <c r="E8" s="58" t="s">
        <v>169</v>
      </c>
      <c r="F8" s="58" t="s">
        <v>170</v>
      </c>
      <c r="G8" s="58" t="s">
        <v>171</v>
      </c>
      <c r="H8" s="58" t="s">
        <v>172</v>
      </c>
      <c r="I8" s="58" t="s">
        <v>173</v>
      </c>
    </row>
    <row r="9" spans="1:16" s="44" customFormat="1" ht="49.95" customHeight="1" thickBot="1" x14ac:dyDescent="0.35">
      <c r="A9" s="59" t="s">
        <v>174</v>
      </c>
      <c r="B9" s="60" t="s">
        <v>175</v>
      </c>
      <c r="C9" s="60" t="s">
        <v>27</v>
      </c>
      <c r="D9" s="60" t="s">
        <v>168</v>
      </c>
      <c r="E9" s="60" t="s">
        <v>176</v>
      </c>
      <c r="F9" s="60" t="s">
        <v>177</v>
      </c>
      <c r="G9" s="60" t="s">
        <v>178</v>
      </c>
      <c r="H9" s="60" t="s">
        <v>179</v>
      </c>
      <c r="I9" s="60" t="s">
        <v>180</v>
      </c>
    </row>
    <row r="10" spans="1:16" s="44" customFormat="1" ht="49.95" customHeight="1" thickBot="1" x14ac:dyDescent="0.35">
      <c r="A10" s="57" t="s">
        <v>181</v>
      </c>
      <c r="B10" s="58" t="s">
        <v>182</v>
      </c>
      <c r="C10" s="58" t="s">
        <v>183</v>
      </c>
      <c r="D10" s="58" t="s">
        <v>137</v>
      </c>
      <c r="E10" s="58" t="s">
        <v>184</v>
      </c>
      <c r="F10" s="58" t="s">
        <v>185</v>
      </c>
      <c r="G10" s="58" t="s">
        <v>186</v>
      </c>
      <c r="H10" s="58" t="s">
        <v>187</v>
      </c>
      <c r="I10" s="58" t="s">
        <v>188</v>
      </c>
    </row>
    <row r="11" spans="1:16" s="44" customFormat="1" ht="49.95" customHeight="1" thickBot="1" x14ac:dyDescent="0.35">
      <c r="A11" s="59" t="s">
        <v>189</v>
      </c>
      <c r="B11" s="60" t="s">
        <v>190</v>
      </c>
      <c r="C11" s="60" t="s">
        <v>183</v>
      </c>
      <c r="D11" s="60" t="s">
        <v>137</v>
      </c>
      <c r="E11" s="60" t="s">
        <v>191</v>
      </c>
      <c r="F11" s="60" t="s">
        <v>192</v>
      </c>
      <c r="G11" s="60" t="s">
        <v>193</v>
      </c>
      <c r="H11" s="60" t="s">
        <v>194</v>
      </c>
      <c r="I11" s="60" t="s">
        <v>195</v>
      </c>
    </row>
    <row r="12" spans="1:16" s="44" customFormat="1" ht="49.95" customHeight="1" thickBot="1" x14ac:dyDescent="0.35">
      <c r="A12" s="57" t="s">
        <v>196</v>
      </c>
      <c r="B12" s="58" t="s">
        <v>197</v>
      </c>
      <c r="C12" s="58" t="s">
        <v>27</v>
      </c>
      <c r="D12" s="58" t="s">
        <v>26</v>
      </c>
      <c r="E12" s="58" t="s">
        <v>198</v>
      </c>
      <c r="F12" s="58" t="s">
        <v>199</v>
      </c>
      <c r="G12" s="58" t="s">
        <v>200</v>
      </c>
      <c r="H12" s="58" t="s">
        <v>201</v>
      </c>
      <c r="I12" s="58" t="s">
        <v>202</v>
      </c>
    </row>
    <row r="13" spans="1:16" s="44" customFormat="1" ht="49.95" customHeight="1" thickBot="1" x14ac:dyDescent="0.35">
      <c r="A13" s="59" t="s">
        <v>203</v>
      </c>
      <c r="B13" s="60" t="s">
        <v>204</v>
      </c>
      <c r="C13" s="60" t="s">
        <v>183</v>
      </c>
      <c r="D13" s="60" t="s">
        <v>26</v>
      </c>
      <c r="E13" s="60" t="s">
        <v>205</v>
      </c>
      <c r="F13" s="60" t="s">
        <v>206</v>
      </c>
      <c r="G13" s="60" t="s">
        <v>207</v>
      </c>
      <c r="H13" s="60" t="s">
        <v>208</v>
      </c>
      <c r="I13" s="60" t="s">
        <v>209</v>
      </c>
    </row>
    <row r="14" spans="1:16" s="44" customFormat="1" ht="49.95" customHeight="1" thickBot="1" x14ac:dyDescent="0.35">
      <c r="A14" s="57" t="s">
        <v>210</v>
      </c>
      <c r="B14" s="58" t="s">
        <v>211</v>
      </c>
      <c r="C14" s="58" t="s">
        <v>212</v>
      </c>
      <c r="D14" s="58" t="s">
        <v>213</v>
      </c>
      <c r="E14" s="58" t="s">
        <v>214</v>
      </c>
      <c r="F14" s="58" t="s">
        <v>215</v>
      </c>
      <c r="G14" s="58" t="s">
        <v>216</v>
      </c>
      <c r="H14" s="58" t="s">
        <v>217</v>
      </c>
      <c r="I14" s="58" t="s">
        <v>218</v>
      </c>
    </row>
    <row r="15" spans="1:16" ht="18.600000000000001" customHeight="1" x14ac:dyDescent="0.3">
      <c r="A15" s="43"/>
      <c r="B15" s="43"/>
      <c r="C15" s="43"/>
      <c r="D15" s="43"/>
      <c r="E15" s="43"/>
      <c r="F15" s="43"/>
      <c r="G15" s="43"/>
      <c r="H15" s="43"/>
      <c r="I15" s="43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1F9A-0182-485D-8653-161AFDC2CACE}">
  <dimension ref="A1:W35"/>
  <sheetViews>
    <sheetView zoomScale="115" zoomScaleNormal="115" workbookViewId="0">
      <selection activeCell="C31" sqref="C31"/>
    </sheetView>
  </sheetViews>
  <sheetFormatPr defaultRowHeight="14.4" x14ac:dyDescent="0.3"/>
  <cols>
    <col min="1" max="1" width="30.77734375" bestFit="1" customWidth="1"/>
    <col min="2" max="2" width="12.21875" customWidth="1"/>
    <col min="3" max="3" width="13.33203125" customWidth="1"/>
    <col min="5" max="5" width="14.33203125" bestFit="1" customWidth="1"/>
    <col min="6" max="6" width="10.77734375" bestFit="1" customWidth="1"/>
    <col min="7" max="7" width="9.33203125" bestFit="1" customWidth="1"/>
    <col min="8" max="8" width="11.88671875" style="6" bestFit="1" customWidth="1"/>
    <col min="9" max="9" width="13" style="6" customWidth="1"/>
    <col min="10" max="10" width="11" style="6" bestFit="1" customWidth="1"/>
    <col min="13" max="13" width="24.109375" customWidth="1"/>
    <col min="16" max="16" width="31.44140625" customWidth="1"/>
    <col min="19" max="19" width="24.5546875" customWidth="1"/>
    <col min="22" max="22" width="27.77734375" customWidth="1"/>
  </cols>
  <sheetData>
    <row r="1" spans="1:23" ht="25.8" x14ac:dyDescent="0.5">
      <c r="A1" s="85" t="s">
        <v>28</v>
      </c>
      <c r="B1" s="85"/>
      <c r="C1" s="85"/>
      <c r="D1" s="85"/>
      <c r="E1" s="85"/>
      <c r="F1" s="85"/>
      <c r="G1" s="85"/>
      <c r="H1" s="85"/>
      <c r="I1" s="85"/>
      <c r="J1" s="85"/>
    </row>
    <row r="3" spans="1:23" ht="18.600000000000001" customHeight="1" x14ac:dyDescent="0.3"/>
    <row r="4" spans="1:23" ht="26.4" customHeight="1" x14ac:dyDescent="0.3">
      <c r="H4" s="10" t="s">
        <v>29</v>
      </c>
      <c r="I4" s="9" t="s">
        <v>30</v>
      </c>
      <c r="J4" s="9" t="s">
        <v>31</v>
      </c>
      <c r="N4" s="82" t="s">
        <v>278</v>
      </c>
      <c r="O4" s="82"/>
      <c r="P4" s="82"/>
    </row>
    <row r="5" spans="1:23" x14ac:dyDescent="0.3">
      <c r="H5" s="11">
        <v>25000</v>
      </c>
      <c r="J5" s="6">
        <v>25000</v>
      </c>
    </row>
    <row r="7" spans="1:23" x14ac:dyDescent="0.3">
      <c r="A7" s="8" t="s">
        <v>32</v>
      </c>
      <c r="B7" s="8" t="s">
        <v>33</v>
      </c>
      <c r="C7" s="8" t="s">
        <v>141</v>
      </c>
      <c r="D7" s="8" t="s">
        <v>34</v>
      </c>
      <c r="E7" s="8" t="s">
        <v>35</v>
      </c>
      <c r="F7" s="8" t="s">
        <v>112</v>
      </c>
      <c r="G7" s="8"/>
      <c r="H7" s="10" t="s">
        <v>13</v>
      </c>
      <c r="I7" s="9" t="s">
        <v>36</v>
      </c>
      <c r="J7" s="9" t="s">
        <v>37</v>
      </c>
      <c r="M7" s="61" t="s">
        <v>231</v>
      </c>
      <c r="P7" s="61" t="s">
        <v>258</v>
      </c>
      <c r="S7" s="61" t="s">
        <v>263</v>
      </c>
      <c r="V7" s="61" t="s">
        <v>270</v>
      </c>
    </row>
    <row r="8" spans="1:23" x14ac:dyDescent="0.3">
      <c r="A8" s="13" t="s">
        <v>38</v>
      </c>
      <c r="J8" s="7"/>
      <c r="M8" s="61" t="s">
        <v>232</v>
      </c>
      <c r="N8" s="61" t="s">
        <v>233</v>
      </c>
      <c r="P8" s="61" t="s">
        <v>232</v>
      </c>
      <c r="Q8" s="61" t="s">
        <v>233</v>
      </c>
      <c r="S8" s="61" t="s">
        <v>232</v>
      </c>
      <c r="T8" s="61" t="s">
        <v>233</v>
      </c>
      <c r="V8" s="61" t="s">
        <v>232</v>
      </c>
      <c r="W8" s="61" t="s">
        <v>233</v>
      </c>
    </row>
    <row r="9" spans="1:23" x14ac:dyDescent="0.3">
      <c r="A9" t="s">
        <v>26</v>
      </c>
      <c r="B9" s="5"/>
      <c r="C9" t="s">
        <v>142</v>
      </c>
      <c r="D9">
        <v>14</v>
      </c>
      <c r="E9" t="s">
        <v>39</v>
      </c>
      <c r="F9">
        <v>5</v>
      </c>
      <c r="G9" s="6">
        <v>4200</v>
      </c>
      <c r="I9" s="6">
        <v>4500</v>
      </c>
      <c r="J9" s="6">
        <f>G9-I9</f>
        <v>-300</v>
      </c>
      <c r="M9" t="s">
        <v>234</v>
      </c>
      <c r="N9" t="s">
        <v>243</v>
      </c>
      <c r="P9" t="s">
        <v>234</v>
      </c>
      <c r="Q9" t="s">
        <v>243</v>
      </c>
      <c r="S9" t="s">
        <v>234</v>
      </c>
      <c r="T9" t="s">
        <v>243</v>
      </c>
      <c r="V9" t="s">
        <v>234</v>
      </c>
      <c r="W9" t="s">
        <v>243</v>
      </c>
    </row>
    <row r="10" spans="1:23" x14ac:dyDescent="0.3">
      <c r="A10" t="s">
        <v>136</v>
      </c>
      <c r="B10" s="5"/>
      <c r="C10" t="s">
        <v>142</v>
      </c>
      <c r="D10">
        <v>15</v>
      </c>
      <c r="F10">
        <v>5</v>
      </c>
      <c r="G10" s="6">
        <v>4500</v>
      </c>
      <c r="I10" s="6">
        <v>5000</v>
      </c>
      <c r="J10" s="6">
        <f t="shared" ref="J10:J13" si="0">G10-I10</f>
        <v>-500</v>
      </c>
      <c r="M10" t="s">
        <v>235</v>
      </c>
      <c r="N10" t="s">
        <v>244</v>
      </c>
      <c r="P10" t="s">
        <v>235</v>
      </c>
      <c r="Q10" t="s">
        <v>244</v>
      </c>
      <c r="S10" t="s">
        <v>235</v>
      </c>
      <c r="T10" t="s">
        <v>244</v>
      </c>
      <c r="V10" t="s">
        <v>235</v>
      </c>
      <c r="W10" t="s">
        <v>244</v>
      </c>
    </row>
    <row r="11" spans="1:23" x14ac:dyDescent="0.3">
      <c r="A11" t="s">
        <v>137</v>
      </c>
      <c r="B11" s="5"/>
      <c r="C11" t="s">
        <v>142</v>
      </c>
      <c r="D11">
        <v>14</v>
      </c>
      <c r="F11">
        <v>5</v>
      </c>
      <c r="G11" s="6">
        <v>4200</v>
      </c>
      <c r="I11" s="6">
        <v>4200</v>
      </c>
      <c r="J11" s="6">
        <f t="shared" si="0"/>
        <v>0</v>
      </c>
      <c r="M11" t="s">
        <v>236</v>
      </c>
      <c r="N11" t="s">
        <v>245</v>
      </c>
      <c r="P11" t="s">
        <v>236</v>
      </c>
      <c r="Q11" t="s">
        <v>245</v>
      </c>
      <c r="S11" t="s">
        <v>236</v>
      </c>
      <c r="T11" t="s">
        <v>245</v>
      </c>
      <c r="V11" t="s">
        <v>236</v>
      </c>
      <c r="W11" t="s">
        <v>245</v>
      </c>
    </row>
    <row r="12" spans="1:23" x14ac:dyDescent="0.3">
      <c r="A12" t="s">
        <v>138</v>
      </c>
      <c r="B12" s="5"/>
      <c r="C12" t="s">
        <v>302</v>
      </c>
      <c r="D12">
        <v>12.21</v>
      </c>
      <c r="F12">
        <v>5</v>
      </c>
      <c r="G12" s="6">
        <v>2500</v>
      </c>
      <c r="I12" s="6">
        <v>2500</v>
      </c>
      <c r="J12" s="6">
        <f t="shared" si="0"/>
        <v>0</v>
      </c>
      <c r="M12" t="s">
        <v>237</v>
      </c>
      <c r="N12" t="s">
        <v>246</v>
      </c>
      <c r="P12" t="s">
        <v>255</v>
      </c>
      <c r="Q12" t="s">
        <v>261</v>
      </c>
      <c r="S12" t="s">
        <v>264</v>
      </c>
      <c r="T12" t="s">
        <v>269</v>
      </c>
      <c r="V12" t="s">
        <v>271</v>
      </c>
      <c r="W12" t="s">
        <v>261</v>
      </c>
    </row>
    <row r="13" spans="1:23" x14ac:dyDescent="0.3">
      <c r="A13" t="s">
        <v>140</v>
      </c>
      <c r="B13" s="5"/>
      <c r="G13" s="6">
        <v>1100</v>
      </c>
      <c r="I13" s="6">
        <v>1100</v>
      </c>
      <c r="J13" s="6">
        <f t="shared" si="0"/>
        <v>0</v>
      </c>
      <c r="M13" t="s">
        <v>238</v>
      </c>
      <c r="N13" t="s">
        <v>246</v>
      </c>
      <c r="P13" t="s">
        <v>256</v>
      </c>
      <c r="Q13" t="s">
        <v>262</v>
      </c>
      <c r="S13" t="s">
        <v>265</v>
      </c>
      <c r="T13" t="s">
        <v>251</v>
      </c>
      <c r="V13" t="s">
        <v>272</v>
      </c>
      <c r="W13" t="s">
        <v>252</v>
      </c>
    </row>
    <row r="14" spans="1:23" x14ac:dyDescent="0.3">
      <c r="A14" s="14" t="s">
        <v>139</v>
      </c>
      <c r="B14" s="42"/>
      <c r="C14" s="14"/>
      <c r="D14" s="14"/>
      <c r="E14" s="14"/>
      <c r="F14" s="14"/>
      <c r="G14" s="14"/>
      <c r="H14" s="17">
        <f>SUM(G9:G13)</f>
        <v>16500</v>
      </c>
      <c r="I14" s="17">
        <f>SUM(I9:I13)</f>
        <v>17300</v>
      </c>
      <c r="J14" s="17"/>
      <c r="M14" t="s">
        <v>239</v>
      </c>
      <c r="N14" t="s">
        <v>251</v>
      </c>
      <c r="P14" t="s">
        <v>257</v>
      </c>
      <c r="Q14" t="s">
        <v>251</v>
      </c>
      <c r="S14" t="s">
        <v>266</v>
      </c>
      <c r="T14" t="s">
        <v>252</v>
      </c>
      <c r="V14" t="s">
        <v>273</v>
      </c>
      <c r="W14" t="s">
        <v>252</v>
      </c>
    </row>
    <row r="15" spans="1:23" x14ac:dyDescent="0.3">
      <c r="A15" s="5" t="s">
        <v>113</v>
      </c>
      <c r="B15" s="5" t="s">
        <v>41</v>
      </c>
      <c r="C15" t="s">
        <v>39</v>
      </c>
      <c r="E15" s="34">
        <v>600</v>
      </c>
      <c r="F15">
        <v>5</v>
      </c>
      <c r="H15" s="6">
        <v>3000</v>
      </c>
      <c r="I15" s="6">
        <v>3200</v>
      </c>
      <c r="J15" s="6">
        <f>H15-I15</f>
        <v>-200</v>
      </c>
      <c r="M15" t="s">
        <v>240</v>
      </c>
      <c r="N15" t="s">
        <v>252</v>
      </c>
      <c r="P15" t="s">
        <v>259</v>
      </c>
      <c r="Q15" t="s">
        <v>251</v>
      </c>
      <c r="S15" t="s">
        <v>267</v>
      </c>
      <c r="T15" t="s">
        <v>251</v>
      </c>
      <c r="V15" t="s">
        <v>274</v>
      </c>
      <c r="W15" t="s">
        <v>277</v>
      </c>
    </row>
    <row r="16" spans="1:23" x14ac:dyDescent="0.3">
      <c r="A16" s="5" t="s">
        <v>114</v>
      </c>
      <c r="B16" s="5"/>
      <c r="E16" s="34"/>
      <c r="H16" s="6">
        <v>2000</v>
      </c>
      <c r="I16" s="6">
        <v>1500</v>
      </c>
      <c r="J16" s="6">
        <f t="shared" ref="J16:J18" si="1">H16-I16</f>
        <v>500</v>
      </c>
      <c r="M16" t="s">
        <v>241</v>
      </c>
      <c r="N16" t="s">
        <v>253</v>
      </c>
      <c r="P16" t="s">
        <v>260</v>
      </c>
      <c r="Q16" t="s">
        <v>252</v>
      </c>
      <c r="S16" t="s">
        <v>268</v>
      </c>
      <c r="T16" t="s">
        <v>261</v>
      </c>
      <c r="V16" t="s">
        <v>275</v>
      </c>
      <c r="W16" t="s">
        <v>252</v>
      </c>
    </row>
    <row r="17" spans="1:23" x14ac:dyDescent="0.3">
      <c r="A17" t="s">
        <v>135</v>
      </c>
      <c r="H17" s="6">
        <v>1500</v>
      </c>
      <c r="I17" s="6">
        <v>1500</v>
      </c>
      <c r="J17" s="6">
        <f t="shared" si="1"/>
        <v>0</v>
      </c>
      <c r="M17" t="s">
        <v>242</v>
      </c>
      <c r="N17" t="s">
        <v>254</v>
      </c>
      <c r="V17" t="s">
        <v>276</v>
      </c>
      <c r="W17" t="s">
        <v>252</v>
      </c>
    </row>
    <row r="18" spans="1:23" x14ac:dyDescent="0.3">
      <c r="A18" t="s">
        <v>42</v>
      </c>
      <c r="H18" s="6">
        <v>300</v>
      </c>
      <c r="I18" s="6">
        <v>300</v>
      </c>
      <c r="J18" s="6">
        <f t="shared" si="1"/>
        <v>0</v>
      </c>
      <c r="M18" t="s">
        <v>247</v>
      </c>
      <c r="N18" t="s">
        <v>252</v>
      </c>
    </row>
    <row r="19" spans="1:23" x14ac:dyDescent="0.3">
      <c r="A19" s="15" t="s">
        <v>145</v>
      </c>
      <c r="B19" s="14"/>
      <c r="C19" s="14"/>
      <c r="D19" s="14"/>
      <c r="E19" s="14"/>
      <c r="F19" s="14"/>
      <c r="G19" s="15" t="s">
        <v>40</v>
      </c>
      <c r="H19" s="16">
        <f>SUM(H14:H18)</f>
        <v>23300</v>
      </c>
      <c r="I19" s="16">
        <f>SUM(I14:I18)</f>
        <v>23800</v>
      </c>
      <c r="J19" s="17"/>
      <c r="M19" t="s">
        <v>248</v>
      </c>
      <c r="N19" t="s">
        <v>246</v>
      </c>
    </row>
    <row r="20" spans="1:23" x14ac:dyDescent="0.3">
      <c r="A20" s="15" t="s">
        <v>143</v>
      </c>
      <c r="B20" s="14"/>
      <c r="C20" s="14"/>
      <c r="D20" s="14"/>
      <c r="E20" s="14"/>
      <c r="F20" s="14"/>
      <c r="G20" s="14"/>
      <c r="H20" s="16">
        <v>1200</v>
      </c>
      <c r="I20" s="17"/>
      <c r="J20" s="17"/>
      <c r="M20" t="s">
        <v>249</v>
      </c>
      <c r="N20" t="s">
        <v>250</v>
      </c>
    </row>
    <row r="21" spans="1:23" x14ac:dyDescent="0.3">
      <c r="A21" s="15" t="s">
        <v>144</v>
      </c>
      <c r="B21" s="14"/>
      <c r="C21" s="14"/>
      <c r="D21" s="14"/>
      <c r="E21" s="14"/>
      <c r="F21" s="14"/>
      <c r="G21" s="14"/>
      <c r="H21" s="16">
        <v>1300</v>
      </c>
      <c r="I21" s="17"/>
      <c r="J21" s="17"/>
    </row>
    <row r="22" spans="1:23" ht="21.6" customHeight="1" thickBot="1" x14ac:dyDescent="0.35">
      <c r="A22" s="12" t="s">
        <v>43</v>
      </c>
      <c r="B22" s="8"/>
      <c r="C22" s="8"/>
      <c r="D22" s="8"/>
      <c r="E22" s="8"/>
      <c r="F22" s="8"/>
      <c r="G22" s="8"/>
      <c r="H22" s="33">
        <f>SUM(H19:H21)</f>
        <v>25800</v>
      </c>
      <c r="I22" s="69" t="str">
        <f>IF(J19 &gt; 30000, "Over Budget", IF(J19 &lt; 30000, "Under Budget"))</f>
        <v>Under Budget</v>
      </c>
      <c r="J22" s="69">
        <f>J5-I19</f>
        <v>1200</v>
      </c>
    </row>
    <row r="23" spans="1:23" ht="15" thickTop="1" x14ac:dyDescent="0.3">
      <c r="M23" s="61"/>
      <c r="N23" s="61"/>
    </row>
    <row r="25" spans="1:23" ht="23.4" x14ac:dyDescent="0.45">
      <c r="A25" s="84" t="s">
        <v>134</v>
      </c>
      <c r="B25" s="84"/>
      <c r="C25" s="84"/>
      <c r="D25" s="84"/>
      <c r="E25" s="84"/>
      <c r="F25" s="84"/>
      <c r="G25" s="84"/>
      <c r="H25" s="84"/>
      <c r="I25" s="84"/>
    </row>
    <row r="28" spans="1:23" ht="28.8" x14ac:dyDescent="0.3">
      <c r="A28" s="35" t="s">
        <v>115</v>
      </c>
      <c r="B28" s="35" t="s">
        <v>116</v>
      </c>
      <c r="C28" s="35" t="s">
        <v>117</v>
      </c>
      <c r="D28" s="86" t="s">
        <v>118</v>
      </c>
      <c r="E28" s="86"/>
      <c r="F28" s="86"/>
      <c r="G28" s="86"/>
      <c r="H28" s="86"/>
      <c r="I28" s="86"/>
    </row>
    <row r="29" spans="1:23" ht="34.950000000000003" customHeight="1" x14ac:dyDescent="0.3">
      <c r="A29" s="36" t="s">
        <v>119</v>
      </c>
      <c r="B29" s="39" t="s">
        <v>120</v>
      </c>
      <c r="C29" s="40">
        <v>4000</v>
      </c>
      <c r="D29" s="83" t="s">
        <v>121</v>
      </c>
      <c r="E29" s="83"/>
      <c r="F29" s="83"/>
      <c r="G29" s="83"/>
      <c r="H29" s="83"/>
      <c r="I29" s="83"/>
    </row>
    <row r="30" spans="1:23" ht="34.950000000000003" customHeight="1" x14ac:dyDescent="0.3">
      <c r="A30" s="36" t="s">
        <v>122</v>
      </c>
      <c r="B30" s="39" t="s">
        <v>123</v>
      </c>
      <c r="C30" s="40">
        <v>6000</v>
      </c>
      <c r="D30" s="83" t="s">
        <v>124</v>
      </c>
      <c r="E30" s="83"/>
      <c r="F30" s="83"/>
      <c r="G30" s="83"/>
      <c r="H30" s="83"/>
      <c r="I30" s="83"/>
    </row>
    <row r="31" spans="1:23" ht="34.950000000000003" customHeight="1" x14ac:dyDescent="0.3">
      <c r="A31" s="36" t="s">
        <v>125</v>
      </c>
      <c r="B31" s="39" t="s">
        <v>126</v>
      </c>
      <c r="C31" s="40">
        <v>7000</v>
      </c>
      <c r="D31" s="83" t="s">
        <v>127</v>
      </c>
      <c r="E31" s="83"/>
      <c r="F31" s="83"/>
      <c r="G31" s="83"/>
      <c r="H31" s="83"/>
      <c r="I31" s="83"/>
    </row>
    <row r="32" spans="1:23" ht="34.950000000000003" customHeight="1" x14ac:dyDescent="0.3">
      <c r="A32" s="36" t="s">
        <v>128</v>
      </c>
      <c r="B32" s="39" t="s">
        <v>129</v>
      </c>
      <c r="C32" s="40">
        <v>5000</v>
      </c>
      <c r="D32" s="83" t="s">
        <v>130</v>
      </c>
      <c r="E32" s="83"/>
      <c r="F32" s="83"/>
      <c r="G32" s="83"/>
      <c r="H32" s="83"/>
      <c r="I32" s="83"/>
    </row>
    <row r="33" spans="1:9" ht="34.950000000000003" customHeight="1" x14ac:dyDescent="0.3">
      <c r="A33" s="36" t="s">
        <v>131</v>
      </c>
      <c r="B33" s="39" t="s">
        <v>132</v>
      </c>
      <c r="C33" s="40">
        <v>3000</v>
      </c>
      <c r="D33" s="83" t="s">
        <v>133</v>
      </c>
      <c r="E33" s="83"/>
      <c r="F33" s="83"/>
      <c r="G33" s="83"/>
      <c r="H33" s="83"/>
      <c r="I33" s="83"/>
    </row>
    <row r="34" spans="1:9" ht="28.2" customHeight="1" thickBot="1" x14ac:dyDescent="0.35">
      <c r="A34" s="38" t="s">
        <v>43</v>
      </c>
      <c r="B34" s="14"/>
      <c r="C34" s="41">
        <f>SUM(C29:C33)</f>
        <v>25000</v>
      </c>
      <c r="D34" s="14"/>
      <c r="E34" s="14"/>
      <c r="F34" s="14"/>
      <c r="G34" s="14"/>
      <c r="H34" s="17"/>
      <c r="I34" s="17"/>
    </row>
    <row r="35" spans="1:9" ht="15" thickTop="1" x14ac:dyDescent="0.3">
      <c r="C35" s="37"/>
    </row>
  </sheetData>
  <mergeCells count="9">
    <mergeCell ref="N4:P4"/>
    <mergeCell ref="D32:I32"/>
    <mergeCell ref="D33:I33"/>
    <mergeCell ref="A25:I25"/>
    <mergeCell ref="A1:J1"/>
    <mergeCell ref="D29:I29"/>
    <mergeCell ref="D28:I28"/>
    <mergeCell ref="D30:I30"/>
    <mergeCell ref="D31:I3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7193-F39A-4657-B77B-E7F3F06A8068}">
  <dimension ref="B1:L25"/>
  <sheetViews>
    <sheetView tabSelected="1" workbookViewId="0">
      <selection activeCell="J18" sqref="J18"/>
    </sheetView>
  </sheetViews>
  <sheetFormatPr defaultRowHeight="14.4" x14ac:dyDescent="0.3"/>
  <cols>
    <col min="2" max="2" width="48.44140625" customWidth="1"/>
    <col min="3" max="6" width="9.77734375" customWidth="1"/>
    <col min="11" max="11" width="11.109375" bestFit="1" customWidth="1"/>
    <col min="12" max="12" width="78.6640625" bestFit="1" customWidth="1"/>
  </cols>
  <sheetData>
    <row r="1" spans="2:12" ht="23.4" x14ac:dyDescent="0.45">
      <c r="B1" s="90" t="s">
        <v>44</v>
      </c>
      <c r="C1" s="90"/>
      <c r="D1" s="90"/>
      <c r="E1" s="90"/>
      <c r="F1" s="90"/>
      <c r="G1" s="90"/>
      <c r="H1" s="90"/>
    </row>
    <row r="3" spans="2:12" ht="15" thickBot="1" x14ac:dyDescent="0.35"/>
    <row r="4" spans="2:12" ht="41.4" thickTop="1" thickBot="1" x14ac:dyDescent="0.35">
      <c r="B4" s="68" t="s">
        <v>279</v>
      </c>
      <c r="C4" s="68" t="s">
        <v>280</v>
      </c>
      <c r="D4" s="68" t="s">
        <v>157</v>
      </c>
      <c r="E4" s="68" t="s">
        <v>45</v>
      </c>
      <c r="F4" s="68" t="s">
        <v>281</v>
      </c>
      <c r="G4" s="68" t="s">
        <v>46</v>
      </c>
    </row>
    <row r="5" spans="2:12" ht="28.95" customHeight="1" thickTop="1" thickBot="1" x14ac:dyDescent="0.4">
      <c r="B5" s="63" t="s">
        <v>282</v>
      </c>
      <c r="C5" s="91"/>
      <c r="D5" s="92"/>
      <c r="E5" s="92"/>
      <c r="F5" s="92"/>
      <c r="G5" s="93"/>
      <c r="J5" s="20" t="s">
        <v>49</v>
      </c>
      <c r="K5" s="21" t="s">
        <v>51</v>
      </c>
      <c r="L5" s="22" t="s">
        <v>52</v>
      </c>
    </row>
    <row r="6" spans="2:12" ht="28.95" customHeight="1" thickTop="1" thickBot="1" x14ac:dyDescent="0.4">
      <c r="B6" s="62" t="s">
        <v>283</v>
      </c>
      <c r="C6" s="64" t="s">
        <v>48</v>
      </c>
      <c r="D6" s="65" t="s">
        <v>50</v>
      </c>
      <c r="E6" s="66" t="s">
        <v>49</v>
      </c>
      <c r="F6" s="65" t="s">
        <v>50</v>
      </c>
      <c r="G6" s="67" t="s">
        <v>47</v>
      </c>
      <c r="J6" s="23" t="s">
        <v>48</v>
      </c>
      <c r="K6" t="s">
        <v>53</v>
      </c>
      <c r="L6" s="24" t="s">
        <v>54</v>
      </c>
    </row>
    <row r="7" spans="2:12" ht="28.95" customHeight="1" thickTop="1" thickBot="1" x14ac:dyDescent="0.4">
      <c r="B7" s="62" t="s">
        <v>301</v>
      </c>
      <c r="C7" s="64" t="s">
        <v>48</v>
      </c>
      <c r="D7" s="67" t="s">
        <v>47</v>
      </c>
      <c r="E7" s="65" t="s">
        <v>50</v>
      </c>
      <c r="F7" s="66" t="s">
        <v>49</v>
      </c>
      <c r="G7" s="67" t="s">
        <v>47</v>
      </c>
      <c r="J7" s="25" t="s">
        <v>50</v>
      </c>
      <c r="K7" t="s">
        <v>55</v>
      </c>
      <c r="L7" s="26" t="s">
        <v>56</v>
      </c>
    </row>
    <row r="8" spans="2:12" ht="28.95" customHeight="1" thickTop="1" thickBot="1" x14ac:dyDescent="0.4">
      <c r="B8" s="62" t="s">
        <v>284</v>
      </c>
      <c r="C8" s="67" t="s">
        <v>47</v>
      </c>
      <c r="D8" s="65" t="s">
        <v>50</v>
      </c>
      <c r="E8" s="64" t="s">
        <v>48</v>
      </c>
      <c r="F8" s="66" t="s">
        <v>49</v>
      </c>
      <c r="G8" s="67" t="s">
        <v>47</v>
      </c>
      <c r="J8" s="27" t="s">
        <v>47</v>
      </c>
      <c r="K8" s="28" t="s">
        <v>57</v>
      </c>
      <c r="L8" s="29" t="s">
        <v>58</v>
      </c>
    </row>
    <row r="9" spans="2:12" ht="28.95" customHeight="1" thickTop="1" thickBot="1" x14ac:dyDescent="0.35">
      <c r="B9" s="63" t="s">
        <v>285</v>
      </c>
      <c r="C9" s="87"/>
      <c r="D9" s="88"/>
      <c r="E9" s="88"/>
      <c r="F9" s="88"/>
      <c r="G9" s="89"/>
    </row>
    <row r="10" spans="2:12" ht="28.95" customHeight="1" thickTop="1" thickBot="1" x14ac:dyDescent="0.35">
      <c r="B10" s="62" t="s">
        <v>286</v>
      </c>
      <c r="C10" s="67" t="s">
        <v>47</v>
      </c>
      <c r="D10" s="67" t="s">
        <v>47</v>
      </c>
      <c r="E10" s="64" t="s">
        <v>48</v>
      </c>
      <c r="F10" s="66" t="s">
        <v>49</v>
      </c>
      <c r="G10" s="65" t="s">
        <v>50</v>
      </c>
    </row>
    <row r="11" spans="2:12" ht="28.95" customHeight="1" thickTop="1" thickBot="1" x14ac:dyDescent="0.35">
      <c r="B11" s="62" t="s">
        <v>287</v>
      </c>
      <c r="C11" s="67" t="s">
        <v>47</v>
      </c>
      <c r="D11" s="65" t="s">
        <v>50</v>
      </c>
      <c r="E11" s="64" t="s">
        <v>48</v>
      </c>
      <c r="F11" s="66" t="s">
        <v>49</v>
      </c>
      <c r="G11" s="65" t="s">
        <v>50</v>
      </c>
    </row>
    <row r="12" spans="2:12" ht="28.95" customHeight="1" thickTop="1" thickBot="1" x14ac:dyDescent="0.35">
      <c r="B12" s="62" t="s">
        <v>288</v>
      </c>
      <c r="C12" s="67" t="s">
        <v>47</v>
      </c>
      <c r="D12" s="67" t="s">
        <v>47</v>
      </c>
      <c r="E12" s="64" t="s">
        <v>48</v>
      </c>
      <c r="F12" s="66" t="s">
        <v>49</v>
      </c>
      <c r="G12" s="67" t="s">
        <v>47</v>
      </c>
    </row>
    <row r="13" spans="2:12" ht="28.95" customHeight="1" thickTop="1" thickBot="1" x14ac:dyDescent="0.35">
      <c r="B13" s="63" t="s">
        <v>289</v>
      </c>
      <c r="C13" s="87"/>
      <c r="D13" s="88"/>
      <c r="E13" s="88"/>
      <c r="F13" s="88"/>
      <c r="G13" s="89"/>
    </row>
    <row r="14" spans="2:12" ht="28.95" customHeight="1" thickTop="1" thickBot="1" x14ac:dyDescent="0.35">
      <c r="B14" s="62" t="s">
        <v>290</v>
      </c>
      <c r="C14" s="67" t="s">
        <v>47</v>
      </c>
      <c r="D14" s="65" t="s">
        <v>50</v>
      </c>
      <c r="E14" s="64" t="s">
        <v>48</v>
      </c>
      <c r="F14" s="66" t="s">
        <v>49</v>
      </c>
      <c r="G14" s="65" t="s">
        <v>50</v>
      </c>
    </row>
    <row r="15" spans="2:12" ht="28.95" customHeight="1" thickTop="1" thickBot="1" x14ac:dyDescent="0.35">
      <c r="B15" s="62" t="s">
        <v>291</v>
      </c>
      <c r="C15" s="67" t="s">
        <v>47</v>
      </c>
      <c r="D15" s="65" t="s">
        <v>50</v>
      </c>
      <c r="E15" s="64" t="s">
        <v>48</v>
      </c>
      <c r="F15" s="66" t="s">
        <v>49</v>
      </c>
      <c r="G15" s="67" t="s">
        <v>47</v>
      </c>
    </row>
    <row r="16" spans="2:12" ht="28.95" customHeight="1" thickTop="1" thickBot="1" x14ac:dyDescent="0.35">
      <c r="B16" s="62" t="s">
        <v>292</v>
      </c>
      <c r="C16" s="67" t="s">
        <v>47</v>
      </c>
      <c r="D16" s="64" t="s">
        <v>48</v>
      </c>
      <c r="E16" s="65" t="s">
        <v>50</v>
      </c>
      <c r="F16" s="66" t="s">
        <v>49</v>
      </c>
      <c r="G16" s="65" t="s">
        <v>50</v>
      </c>
    </row>
    <row r="17" spans="2:7" ht="28.95" customHeight="1" thickTop="1" thickBot="1" x14ac:dyDescent="0.35">
      <c r="B17" s="63" t="s">
        <v>293</v>
      </c>
      <c r="C17" s="87"/>
      <c r="D17" s="88"/>
      <c r="E17" s="88"/>
      <c r="F17" s="88"/>
      <c r="G17" s="89"/>
    </row>
    <row r="18" spans="2:7" ht="28.95" customHeight="1" thickTop="1" thickBot="1" x14ac:dyDescent="0.35">
      <c r="B18" s="62" t="s">
        <v>294</v>
      </c>
      <c r="C18" s="65" t="s">
        <v>50</v>
      </c>
      <c r="D18" s="67" t="s">
        <v>47</v>
      </c>
      <c r="E18" s="64" t="s">
        <v>48</v>
      </c>
      <c r="F18" s="66" t="s">
        <v>49</v>
      </c>
      <c r="G18" s="67" t="s">
        <v>47</v>
      </c>
    </row>
    <row r="19" spans="2:7" ht="28.95" customHeight="1" thickTop="1" thickBot="1" x14ac:dyDescent="0.35">
      <c r="B19" s="62" t="s">
        <v>295</v>
      </c>
      <c r="C19" s="64" t="s">
        <v>48</v>
      </c>
      <c r="D19" s="65" t="s">
        <v>50</v>
      </c>
      <c r="E19" s="66" t="s">
        <v>49</v>
      </c>
      <c r="F19" s="66" t="s">
        <v>49</v>
      </c>
      <c r="G19" s="67" t="s">
        <v>47</v>
      </c>
    </row>
    <row r="20" spans="2:7" ht="28.95" customHeight="1" thickTop="1" thickBot="1" x14ac:dyDescent="0.35">
      <c r="B20" s="62" t="s">
        <v>296</v>
      </c>
      <c r="C20" s="64" t="s">
        <v>48</v>
      </c>
      <c r="D20" s="67" t="s">
        <v>47</v>
      </c>
      <c r="E20" s="65" t="s">
        <v>50</v>
      </c>
      <c r="F20" s="66" t="s">
        <v>49</v>
      </c>
      <c r="G20" s="65" t="s">
        <v>50</v>
      </c>
    </row>
    <row r="21" spans="2:7" ht="28.95" customHeight="1" thickTop="1" thickBot="1" x14ac:dyDescent="0.35">
      <c r="B21" s="63" t="s">
        <v>297</v>
      </c>
      <c r="C21" s="87"/>
      <c r="D21" s="88"/>
      <c r="E21" s="88"/>
      <c r="F21" s="88"/>
      <c r="G21" s="89"/>
    </row>
    <row r="22" spans="2:7" ht="28.95" customHeight="1" thickTop="1" thickBot="1" x14ac:dyDescent="0.35">
      <c r="B22" s="62" t="s">
        <v>298</v>
      </c>
      <c r="C22" s="67" t="s">
        <v>47</v>
      </c>
      <c r="D22" s="65" t="s">
        <v>50</v>
      </c>
      <c r="E22" s="64" t="s">
        <v>48</v>
      </c>
      <c r="F22" s="66" t="s">
        <v>49</v>
      </c>
      <c r="G22" s="65" t="s">
        <v>50</v>
      </c>
    </row>
    <row r="23" spans="2:7" ht="28.95" customHeight="1" thickTop="1" thickBot="1" x14ac:dyDescent="0.35">
      <c r="B23" s="62" t="s">
        <v>299</v>
      </c>
      <c r="C23" s="67" t="s">
        <v>47</v>
      </c>
      <c r="D23" s="64" t="s">
        <v>48</v>
      </c>
      <c r="E23" s="65" t="s">
        <v>50</v>
      </c>
      <c r="F23" s="66" t="s">
        <v>49</v>
      </c>
      <c r="G23" s="67" t="s">
        <v>47</v>
      </c>
    </row>
    <row r="24" spans="2:7" ht="28.95" customHeight="1" thickTop="1" thickBot="1" x14ac:dyDescent="0.35">
      <c r="B24" s="62" t="s">
        <v>300</v>
      </c>
      <c r="C24" s="67" t="s">
        <v>47</v>
      </c>
      <c r="D24" s="67" t="s">
        <v>47</v>
      </c>
      <c r="E24" s="66" t="s">
        <v>49</v>
      </c>
      <c r="F24" s="66" t="s">
        <v>49</v>
      </c>
      <c r="G24" s="67" t="s">
        <v>47</v>
      </c>
    </row>
    <row r="25" spans="2:7" ht="15" thickTop="1" x14ac:dyDescent="0.3"/>
  </sheetData>
  <mergeCells count="6">
    <mergeCell ref="C21:G21"/>
    <mergeCell ref="B1:H1"/>
    <mergeCell ref="C9:G9"/>
    <mergeCell ref="C5:G5"/>
    <mergeCell ref="C13:G13"/>
    <mergeCell ref="C17:G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9EA8-DF46-4912-8732-1DA77F3A9AEB}">
  <dimension ref="A1:M16"/>
  <sheetViews>
    <sheetView topLeftCell="B16" zoomScaleNormal="100" workbookViewId="0">
      <selection activeCell="N7" sqref="N7"/>
    </sheetView>
  </sheetViews>
  <sheetFormatPr defaultRowHeight="14.4" x14ac:dyDescent="0.3"/>
  <cols>
    <col min="1" max="1" width="16.33203125" customWidth="1"/>
    <col min="2" max="2" width="45" customWidth="1"/>
    <col min="3" max="3" width="7.88671875" customWidth="1"/>
    <col min="4" max="5" width="8.77734375" customWidth="1"/>
    <col min="6" max="6" width="25.77734375" customWidth="1"/>
    <col min="7" max="7" width="30.5546875" customWidth="1"/>
    <col min="8" max="8" width="19.33203125" customWidth="1"/>
    <col min="9" max="9" width="10.77734375" customWidth="1"/>
    <col min="10" max="10" width="8.5546875" customWidth="1"/>
    <col min="11" max="11" width="8.88671875" hidden="1" customWidth="1"/>
  </cols>
  <sheetData>
    <row r="1" spans="1:13" ht="23.4" x14ac:dyDescent="0.45">
      <c r="A1" s="90" t="s">
        <v>9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3" ht="15" thickBot="1" x14ac:dyDescent="0.35"/>
    <row r="3" spans="1:13" ht="50.25" customHeight="1" thickBot="1" x14ac:dyDescent="0.35">
      <c r="A3" s="46" t="s">
        <v>59</v>
      </c>
      <c r="B3" s="46" t="s">
        <v>60</v>
      </c>
      <c r="C3" s="46" t="s">
        <v>61</v>
      </c>
      <c r="D3" s="46" t="s">
        <v>47</v>
      </c>
      <c r="E3" s="46" t="s">
        <v>62</v>
      </c>
      <c r="F3" s="46" t="s">
        <v>63</v>
      </c>
      <c r="G3" s="46" t="s">
        <v>64</v>
      </c>
      <c r="H3" s="46" t="s">
        <v>21</v>
      </c>
    </row>
    <row r="4" spans="1:13" ht="50.25" customHeight="1" thickBot="1" x14ac:dyDescent="0.35">
      <c r="A4" s="47" t="s">
        <v>65</v>
      </c>
      <c r="B4" s="48" t="s">
        <v>219</v>
      </c>
      <c r="C4" s="55">
        <v>4</v>
      </c>
      <c r="D4" s="55">
        <v>5</v>
      </c>
      <c r="E4" s="51">
        <v>20</v>
      </c>
      <c r="F4" s="49" t="s">
        <v>220</v>
      </c>
      <c r="G4" s="48" t="s">
        <v>66</v>
      </c>
      <c r="H4" s="47" t="s">
        <v>67</v>
      </c>
    </row>
    <row r="5" spans="1:13" ht="50.25" customHeight="1" thickBot="1" x14ac:dyDescent="0.4">
      <c r="A5" s="47" t="s">
        <v>69</v>
      </c>
      <c r="B5" s="48" t="s">
        <v>70</v>
      </c>
      <c r="C5" s="55">
        <v>3</v>
      </c>
      <c r="D5" s="55">
        <v>4</v>
      </c>
      <c r="E5" s="52">
        <v>12</v>
      </c>
      <c r="F5" s="48" t="s">
        <v>71</v>
      </c>
      <c r="G5" s="48" t="s">
        <v>72</v>
      </c>
      <c r="H5" s="47" t="s">
        <v>26</v>
      </c>
      <c r="L5" s="30"/>
      <c r="M5" s="19" t="s">
        <v>68</v>
      </c>
    </row>
    <row r="6" spans="1:13" ht="50.25" customHeight="1" thickBot="1" x14ac:dyDescent="0.4">
      <c r="A6" s="47" t="s">
        <v>74</v>
      </c>
      <c r="B6" s="48" t="s">
        <v>75</v>
      </c>
      <c r="C6" s="55">
        <v>3</v>
      </c>
      <c r="D6" s="55">
        <v>5</v>
      </c>
      <c r="E6" s="52">
        <v>15</v>
      </c>
      <c r="F6" s="48" t="s">
        <v>76</v>
      </c>
      <c r="G6" s="48" t="s">
        <v>77</v>
      </c>
      <c r="H6" s="47" t="s">
        <v>78</v>
      </c>
      <c r="L6" s="31"/>
      <c r="M6" s="19" t="s">
        <v>73</v>
      </c>
    </row>
    <row r="7" spans="1:13" ht="50.25" customHeight="1" thickBot="1" x14ac:dyDescent="0.4">
      <c r="A7" s="47" t="s">
        <v>80</v>
      </c>
      <c r="B7" s="48" t="s">
        <v>81</v>
      </c>
      <c r="C7" s="55">
        <v>3</v>
      </c>
      <c r="D7" s="55">
        <v>3</v>
      </c>
      <c r="E7" s="53">
        <v>9</v>
      </c>
      <c r="F7" s="48" t="s">
        <v>82</v>
      </c>
      <c r="G7" s="48" t="s">
        <v>83</v>
      </c>
      <c r="H7" s="47" t="s">
        <v>84</v>
      </c>
      <c r="L7" s="32"/>
      <c r="M7" s="19" t="s">
        <v>79</v>
      </c>
    </row>
    <row r="8" spans="1:13" ht="50.25" customHeight="1" thickBot="1" x14ac:dyDescent="0.35">
      <c r="A8" s="47" t="s">
        <v>85</v>
      </c>
      <c r="B8" s="48" t="s">
        <v>86</v>
      </c>
      <c r="C8" s="55">
        <v>3</v>
      </c>
      <c r="D8" s="55">
        <v>4</v>
      </c>
      <c r="E8" s="52">
        <v>12</v>
      </c>
      <c r="F8" s="48" t="s">
        <v>87</v>
      </c>
      <c r="G8" s="48" t="s">
        <v>88</v>
      </c>
      <c r="H8" s="47" t="s">
        <v>89</v>
      </c>
    </row>
    <row r="9" spans="1:13" ht="50.25" customHeight="1" thickBot="1" x14ac:dyDescent="0.35">
      <c r="A9" s="47" t="s">
        <v>90</v>
      </c>
      <c r="B9" s="48" t="s">
        <v>91</v>
      </c>
      <c r="C9" s="55">
        <v>2</v>
      </c>
      <c r="D9" s="55">
        <v>3</v>
      </c>
      <c r="E9" s="53">
        <v>6</v>
      </c>
      <c r="F9" s="48" t="s">
        <v>92</v>
      </c>
      <c r="G9" s="48" t="s">
        <v>93</v>
      </c>
      <c r="H9" s="47" t="s">
        <v>94</v>
      </c>
    </row>
    <row r="10" spans="1:13" ht="50.25" customHeight="1" thickBot="1" x14ac:dyDescent="0.35">
      <c r="A10" s="47" t="s">
        <v>95</v>
      </c>
      <c r="B10" s="48" t="s">
        <v>96</v>
      </c>
      <c r="C10" s="55">
        <v>3</v>
      </c>
      <c r="D10" s="55">
        <v>4</v>
      </c>
      <c r="E10" s="52">
        <v>12</v>
      </c>
      <c r="F10" s="48" t="s">
        <v>97</v>
      </c>
      <c r="G10" s="48" t="s">
        <v>98</v>
      </c>
      <c r="H10" s="47" t="s">
        <v>99</v>
      </c>
    </row>
    <row r="11" spans="1:13" ht="50.25" customHeight="1" thickBot="1" x14ac:dyDescent="0.35">
      <c r="A11" s="47" t="s">
        <v>100</v>
      </c>
      <c r="B11" s="48" t="s">
        <v>101</v>
      </c>
      <c r="C11" s="55">
        <v>2</v>
      </c>
      <c r="D11" s="55">
        <v>4</v>
      </c>
      <c r="E11" s="53">
        <v>8</v>
      </c>
      <c r="F11" s="48" t="s">
        <v>102</v>
      </c>
      <c r="G11" s="48" t="s">
        <v>103</v>
      </c>
      <c r="H11" s="47" t="s">
        <v>104</v>
      </c>
    </row>
    <row r="12" spans="1:13" ht="50.25" customHeight="1" thickBot="1" x14ac:dyDescent="0.35">
      <c r="A12" s="47" t="s">
        <v>105</v>
      </c>
      <c r="B12" s="48" t="s">
        <v>106</v>
      </c>
      <c r="C12" s="55">
        <v>2</v>
      </c>
      <c r="D12" s="55">
        <v>5</v>
      </c>
      <c r="E12" s="53">
        <v>10</v>
      </c>
      <c r="F12" s="48" t="s">
        <v>107</v>
      </c>
      <c r="G12" s="48" t="s">
        <v>108</v>
      </c>
      <c r="H12" s="47" t="s">
        <v>109</v>
      </c>
    </row>
    <row r="13" spans="1:13" ht="50.25" customHeight="1" thickBot="1" x14ac:dyDescent="0.35">
      <c r="A13" s="47" t="s">
        <v>221</v>
      </c>
      <c r="B13" s="48" t="s">
        <v>110</v>
      </c>
      <c r="C13" s="55">
        <v>3</v>
      </c>
      <c r="D13" s="55">
        <v>3</v>
      </c>
      <c r="E13" s="53">
        <v>9</v>
      </c>
      <c r="F13" s="48" t="s">
        <v>222</v>
      </c>
      <c r="G13" s="48" t="s">
        <v>111</v>
      </c>
      <c r="H13" s="50" t="s">
        <v>26</v>
      </c>
    </row>
    <row r="14" spans="1:13" ht="50.25" customHeight="1" thickBot="1" x14ac:dyDescent="0.35">
      <c r="A14" s="47" t="s">
        <v>223</v>
      </c>
      <c r="B14" s="48" t="s">
        <v>224</v>
      </c>
      <c r="C14" s="55">
        <v>3</v>
      </c>
      <c r="D14" s="55">
        <v>3</v>
      </c>
      <c r="E14" s="53">
        <v>9</v>
      </c>
      <c r="F14" s="48" t="s">
        <v>225</v>
      </c>
      <c r="G14" s="48" t="s">
        <v>226</v>
      </c>
      <c r="H14" s="47" t="s">
        <v>94</v>
      </c>
    </row>
    <row r="15" spans="1:13" ht="50.25" customHeight="1" thickBot="1" x14ac:dyDescent="0.35">
      <c r="A15" s="47" t="s">
        <v>227</v>
      </c>
      <c r="B15" s="48" t="s">
        <v>228</v>
      </c>
      <c r="C15" s="55">
        <v>3</v>
      </c>
      <c r="D15" s="55">
        <v>5</v>
      </c>
      <c r="E15" s="54">
        <v>15</v>
      </c>
      <c r="F15" s="48" t="s">
        <v>229</v>
      </c>
      <c r="G15" s="48" t="s">
        <v>230</v>
      </c>
      <c r="H15" s="47" t="s">
        <v>84</v>
      </c>
    </row>
    <row r="16" spans="1:13" ht="50.25" customHeight="1" x14ac:dyDescent="0.3">
      <c r="A16" s="5"/>
      <c r="B16" s="5"/>
      <c r="C16" s="5"/>
      <c r="D16" s="5"/>
      <c r="E16" s="5"/>
      <c r="F16" s="5"/>
      <c r="G16" s="5"/>
      <c r="H16" s="5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Overveiw</vt:lpstr>
      <vt:lpstr>MIlestones</vt:lpstr>
      <vt:lpstr>Com.Plan</vt:lpstr>
      <vt:lpstr>Budget</vt:lpstr>
      <vt:lpstr>RACI</vt:lpstr>
      <vt:lpstr>Risk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Priyashan</dc:creator>
  <cp:keywords/>
  <dc:description/>
  <cp:lastModifiedBy>Tharindu Priyashan</cp:lastModifiedBy>
  <cp:revision/>
  <dcterms:created xsi:type="dcterms:W3CDTF">2025-11-08T11:10:02Z</dcterms:created>
  <dcterms:modified xsi:type="dcterms:W3CDTF">2026-04-13T12:39:45Z</dcterms:modified>
  <cp:category/>
  <cp:contentStatus/>
</cp:coreProperties>
</file>